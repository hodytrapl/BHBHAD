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75" windowWidth="21075" windowHeight="8265" activeTab="2"/>
  </bookViews>
  <sheets>
    <sheet name="Лист1" sheetId="1" r:id="rId1"/>
    <sheet name="Лист2" sheetId="2" r:id="rId2"/>
    <sheet name="Лист3" sheetId="3" r:id="rId3"/>
  </sheets>
  <definedNames>
    <definedName name="solver_adj" localSheetId="0" hidden="1">Лист1!$B$9:$E$11</definedName>
    <definedName name="solver_adj" localSheetId="1" hidden="1">Лист2!$B$2:$I$2</definedName>
    <definedName name="solver_adj" localSheetId="2" hidden="1">Лист3!$C$4:$D$4</definedName>
    <definedName name="solver_cvg" localSheetId="0" hidden="1">0.0001</definedName>
    <definedName name="solver_cvg" localSheetId="1" hidden="1">0.0001</definedName>
    <definedName name="solver_cvg" localSheetId="2" hidden="1">0.0001</definedName>
    <definedName name="solver_drv" localSheetId="0" hidden="1">2</definedName>
    <definedName name="solver_drv" localSheetId="1" hidden="1">1</definedName>
    <definedName name="solver_drv" localSheetId="2" hidden="1">1</definedName>
    <definedName name="solver_eng" localSheetId="0" hidden="1">2</definedName>
    <definedName name="solver_eng" localSheetId="1" hidden="1">1</definedName>
    <definedName name="solver_eng" localSheetId="2" hidden="1">1</definedName>
    <definedName name="solver_est" localSheetId="0" hidden="1">1</definedName>
    <definedName name="solver_est" localSheetId="1" hidden="1">1</definedName>
    <definedName name="solver_est" localSheetId="2" hidden="1">1</definedName>
    <definedName name="solver_itr" localSheetId="0" hidden="1">2147483647</definedName>
    <definedName name="solver_itr" localSheetId="1" hidden="1">2147483647</definedName>
    <definedName name="solver_itr" localSheetId="2" hidden="1">2147483647</definedName>
    <definedName name="solver_lhs1" localSheetId="0" hidden="1">Лист1!$B$12:$E$12</definedName>
    <definedName name="solver_lhs1" localSheetId="1" hidden="1">Лист2!$B$2</definedName>
    <definedName name="solver_lhs1" localSheetId="2" hidden="1">Лист3!$G$11</definedName>
    <definedName name="solver_lhs2" localSheetId="0" hidden="1">Лист1!$B$9:$B$11</definedName>
    <definedName name="solver_lhs2" localSheetId="1" hidden="1">Лист2!$B$2:$I$2</definedName>
    <definedName name="solver_lhs2" localSheetId="2" hidden="1">Лист3!$G$12</definedName>
    <definedName name="solver_lhs3" localSheetId="0" hidden="1">Лист1!$F$9:$F$11</definedName>
    <definedName name="solver_lhs3" localSheetId="1" hidden="1">Лист2!$L$5:$L$11</definedName>
    <definedName name="solver_lhs3" localSheetId="2" hidden="1">Лист3!$G$13</definedName>
    <definedName name="solver_lhs4" localSheetId="0" hidden="1">Лист1!$F$9:$F$11</definedName>
    <definedName name="solver_mip" localSheetId="0" hidden="1">2147483647</definedName>
    <definedName name="solver_mip" localSheetId="1" hidden="1">2147483647</definedName>
    <definedName name="solver_mip" localSheetId="2" hidden="1">2147483647</definedName>
    <definedName name="solver_mni" localSheetId="0" hidden="1">30</definedName>
    <definedName name="solver_mni" localSheetId="1" hidden="1">30</definedName>
    <definedName name="solver_mni" localSheetId="2" hidden="1">30</definedName>
    <definedName name="solver_mrt" localSheetId="0" hidden="1">0.075</definedName>
    <definedName name="solver_mrt" localSheetId="1" hidden="1">0.075</definedName>
    <definedName name="solver_mrt" localSheetId="2" hidden="1">0.075</definedName>
    <definedName name="solver_msl" localSheetId="0" hidden="1">2</definedName>
    <definedName name="solver_msl" localSheetId="1" hidden="1">2</definedName>
    <definedName name="solver_msl" localSheetId="2" hidden="1">2</definedName>
    <definedName name="solver_neg" localSheetId="0" hidden="1">1</definedName>
    <definedName name="solver_neg" localSheetId="1" hidden="1">1</definedName>
    <definedName name="solver_neg" localSheetId="2" hidden="1">1</definedName>
    <definedName name="solver_nod" localSheetId="0" hidden="1">2147483647</definedName>
    <definedName name="solver_nod" localSheetId="1" hidden="1">2147483647</definedName>
    <definedName name="solver_nod" localSheetId="2" hidden="1">2147483647</definedName>
    <definedName name="solver_num" localSheetId="0" hidden="1">3</definedName>
    <definedName name="solver_num" localSheetId="1" hidden="1">3</definedName>
    <definedName name="solver_num" localSheetId="2" hidden="1">3</definedName>
    <definedName name="solver_nwt" localSheetId="0" hidden="1">1</definedName>
    <definedName name="solver_nwt" localSheetId="1" hidden="1">1</definedName>
    <definedName name="solver_nwt" localSheetId="2" hidden="1">1</definedName>
    <definedName name="solver_opt" localSheetId="0" hidden="1">Лист1!$E$14</definedName>
    <definedName name="solver_opt" localSheetId="1" hidden="1">Лист2!$B$17</definedName>
    <definedName name="solver_opt" localSheetId="2" hidden="1">Лист3!$F$5</definedName>
    <definedName name="solver_pre" localSheetId="0" hidden="1">0.000001</definedName>
    <definedName name="solver_pre" localSheetId="1" hidden="1">0.000001</definedName>
    <definedName name="solver_pre" localSheetId="2" hidden="1">0.000001</definedName>
    <definedName name="solver_rbv" localSheetId="0" hidden="1">2</definedName>
    <definedName name="solver_rbv" localSheetId="1" hidden="1">1</definedName>
    <definedName name="solver_rbv" localSheetId="2" hidden="1">1</definedName>
    <definedName name="solver_rel1" localSheetId="0" hidden="1">1</definedName>
    <definedName name="solver_rel1" localSheetId="1" hidden="1">4</definedName>
    <definedName name="solver_rel1" localSheetId="2" hidden="1">1</definedName>
    <definedName name="solver_rel2" localSheetId="0" hidden="1">4</definedName>
    <definedName name="solver_rel2" localSheetId="1" hidden="1">1</definedName>
    <definedName name="solver_rel2" localSheetId="2" hidden="1">1</definedName>
    <definedName name="solver_rel3" localSheetId="0" hidden="1">2</definedName>
    <definedName name="solver_rel3" localSheetId="1" hidden="1">1</definedName>
    <definedName name="solver_rel3" localSheetId="2" hidden="1">1</definedName>
    <definedName name="solver_rel4" localSheetId="0" hidden="1">2</definedName>
    <definedName name="solver_rhs1" localSheetId="0" hidden="1">Лист1!$B$6:$E$6</definedName>
    <definedName name="solver_rhs1" localSheetId="1" hidden="1">целое</definedName>
    <definedName name="solver_rhs1" localSheetId="2" hidden="1">Лист3!$F$11</definedName>
    <definedName name="solver_rhs2" localSheetId="0" hidden="1">целое</definedName>
    <definedName name="solver_rhs2" localSheetId="1" hidden="1">Лист2!$B$15:$I$15</definedName>
    <definedName name="solver_rhs2" localSheetId="2" hidden="1">Лист3!$F$12</definedName>
    <definedName name="solver_rhs3" localSheetId="0" hidden="1">Лист1!$F$3:$F$5</definedName>
    <definedName name="solver_rhs3" localSheetId="1" hidden="1">Лист2!$N$5:$N$11</definedName>
    <definedName name="solver_rhs3" localSheetId="2" hidden="1">Лист3!$F$13</definedName>
    <definedName name="solver_rhs4" localSheetId="0" hidden="1">Лист1!$F$3:$F$5</definedName>
    <definedName name="solver_rlx" localSheetId="0" hidden="1">2</definedName>
    <definedName name="solver_rlx" localSheetId="1" hidden="1">2</definedName>
    <definedName name="solver_rlx" localSheetId="2" hidden="1">2</definedName>
    <definedName name="solver_rsd" localSheetId="0" hidden="1">0</definedName>
    <definedName name="solver_rsd" localSheetId="1" hidden="1">0</definedName>
    <definedName name="solver_rsd" localSheetId="2" hidden="1">0</definedName>
    <definedName name="solver_scl" localSheetId="0" hidden="1">2</definedName>
    <definedName name="solver_scl" localSheetId="1" hidden="1">1</definedName>
    <definedName name="solver_scl" localSheetId="2" hidden="1">1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sz" localSheetId="0" hidden="1">100</definedName>
    <definedName name="solver_ssz" localSheetId="1" hidden="1">100</definedName>
    <definedName name="solver_ssz" localSheetId="2" hidden="1">100</definedName>
    <definedName name="solver_tim" localSheetId="0" hidden="1">2147483647</definedName>
    <definedName name="solver_tim" localSheetId="1" hidden="1">2147483647</definedName>
    <definedName name="solver_tim" localSheetId="2" hidden="1">2147483647</definedName>
    <definedName name="solver_tol" localSheetId="0" hidden="1">0.01</definedName>
    <definedName name="solver_tol" localSheetId="1" hidden="1">0.01</definedName>
    <definedName name="solver_tol" localSheetId="2" hidden="1">0.01</definedName>
    <definedName name="solver_typ" localSheetId="0" hidden="1">2</definedName>
    <definedName name="solver_typ" localSheetId="1" hidden="1">1</definedName>
    <definedName name="solver_typ" localSheetId="2" hidden="1">1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er" localSheetId="0" hidden="1">3</definedName>
    <definedName name="solver_ver" localSheetId="1" hidden="1">3</definedName>
    <definedName name="solver_ver" localSheetId="2" hidden="1">3</definedName>
  </definedNames>
  <calcPr calcId="145621"/>
</workbook>
</file>

<file path=xl/calcChain.xml><?xml version="1.0" encoding="utf-8"?>
<calcChain xmlns="http://schemas.openxmlformats.org/spreadsheetml/2006/main">
  <c r="G12" i="3" l="1"/>
  <c r="G13" i="3"/>
  <c r="G11" i="3"/>
  <c r="F5" i="3"/>
  <c r="B17" i="2"/>
  <c r="L6" i="2"/>
  <c r="L7" i="2"/>
  <c r="L8" i="2"/>
  <c r="L9" i="2"/>
  <c r="L10" i="2"/>
  <c r="L11" i="2"/>
  <c r="L5" i="2"/>
  <c r="E14" i="1"/>
  <c r="B12" i="1"/>
  <c r="F10" i="1"/>
  <c r="F11" i="1"/>
  <c r="F9" i="1"/>
  <c r="E12" i="1"/>
  <c r="D12" i="1"/>
  <c r="C12" i="1"/>
</calcChain>
</file>

<file path=xl/sharedStrings.xml><?xml version="1.0" encoding="utf-8"?>
<sst xmlns="http://schemas.openxmlformats.org/spreadsheetml/2006/main" count="46" uniqueCount="42">
  <si>
    <t>базы</t>
  </si>
  <si>
    <t>спрос</t>
  </si>
  <si>
    <t>запасы</t>
  </si>
  <si>
    <t>транспортная задача</t>
  </si>
  <si>
    <t>матрица перевозок</t>
  </si>
  <si>
    <t>сумма</t>
  </si>
  <si>
    <t>СУММА СТОИМОСТЬ ПРОИЗВ</t>
  </si>
  <si>
    <t>Тип детали</t>
  </si>
  <si>
    <t>производство</t>
  </si>
  <si>
    <t>станки</t>
  </si>
  <si>
    <t>ADF</t>
  </si>
  <si>
    <t>SHG</t>
  </si>
  <si>
    <t>BSD</t>
  </si>
  <si>
    <t>AVP</t>
  </si>
  <si>
    <t>BFG</t>
  </si>
  <si>
    <t>ABM</t>
  </si>
  <si>
    <t>RL</t>
  </si>
  <si>
    <t>A</t>
  </si>
  <si>
    <t>B</t>
  </si>
  <si>
    <t>C1</t>
  </si>
  <si>
    <t>C2</t>
  </si>
  <si>
    <t>C3</t>
  </si>
  <si>
    <t>D</t>
  </si>
  <si>
    <t>E6</t>
  </si>
  <si>
    <t>F</t>
  </si>
  <si>
    <t>Прибыльность</t>
  </si>
  <si>
    <t>Потребность рынка</t>
  </si>
  <si>
    <t>парк станков</t>
  </si>
  <si>
    <t>Время обработки деталей</t>
  </si>
  <si>
    <t>Потребность времени</t>
  </si>
  <si>
    <t>суммарная прибыль</t>
  </si>
  <si>
    <t>&lt;=</t>
  </si>
  <si>
    <t>предел времени</t>
  </si>
  <si>
    <t>остаток времени</t>
  </si>
  <si>
    <t>стол</t>
  </si>
  <si>
    <t>шкаф</t>
  </si>
  <si>
    <t>прибыль</t>
  </si>
  <si>
    <t>целевая функция</t>
  </si>
  <si>
    <t>max</t>
  </si>
  <si>
    <t>древо 1</t>
  </si>
  <si>
    <t>древо 2</t>
  </si>
  <si>
    <t>трудоемкость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</si>
</sst>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0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wrapText="1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4" borderId="1" xfId="0" applyFill="1" applyBorder="1"/>
    <xf numFmtId="0" fontId="0" fillId="5" borderId="1" xfId="0" applyFill="1" applyBorder="1" applyAlignment="1">
      <alignment horizontal="center" wrapText="1"/>
    </xf>
    <xf numFmtId="0" fontId="0" fillId="0" borderId="0" xfId="0" applyNumberFormat="1"/>
    <xf numFmtId="0" fontId="0" fillId="0" borderId="1" xfId="0" applyNumberFormat="1" applyBorder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H3" sqref="H3"/>
    </sheetView>
  </sheetViews>
  <sheetFormatPr defaultRowHeight="15" x14ac:dyDescent="0.25"/>
  <sheetData>
    <row r="1" spans="1:6" x14ac:dyDescent="0.25">
      <c r="B1" s="3" t="s">
        <v>3</v>
      </c>
      <c r="C1" s="3"/>
      <c r="D1" s="3"/>
      <c r="E1" s="3"/>
    </row>
    <row r="2" spans="1:6" x14ac:dyDescent="0.25">
      <c r="A2" s="2" t="s">
        <v>0</v>
      </c>
      <c r="B2" s="2">
        <v>1</v>
      </c>
      <c r="C2" s="2">
        <v>2</v>
      </c>
      <c r="D2" s="2">
        <v>3</v>
      </c>
      <c r="E2" s="2">
        <v>4</v>
      </c>
      <c r="F2" s="2" t="s">
        <v>2</v>
      </c>
    </row>
    <row r="3" spans="1:6" x14ac:dyDescent="0.25">
      <c r="A3" s="2">
        <v>1</v>
      </c>
      <c r="B3" s="2">
        <v>55</v>
      </c>
      <c r="C3" s="2">
        <v>7</v>
      </c>
      <c r="D3" s="2">
        <v>6</v>
      </c>
      <c r="E3" s="2">
        <v>8</v>
      </c>
      <c r="F3" s="2">
        <v>18</v>
      </c>
    </row>
    <row r="4" spans="1:6" x14ac:dyDescent="0.25">
      <c r="A4" s="2">
        <v>2</v>
      </c>
      <c r="B4" s="2">
        <v>9</v>
      </c>
      <c r="C4" s="2">
        <v>2</v>
      </c>
      <c r="D4" s="2">
        <v>11</v>
      </c>
      <c r="E4" s="2">
        <v>3</v>
      </c>
      <c r="F4" s="2">
        <v>52</v>
      </c>
    </row>
    <row r="5" spans="1:6" x14ac:dyDescent="0.25">
      <c r="A5" s="2">
        <v>3</v>
      </c>
      <c r="B5" s="2">
        <v>10</v>
      </c>
      <c r="C5" s="2">
        <v>3</v>
      </c>
      <c r="D5" s="2">
        <v>2</v>
      </c>
      <c r="E5" s="2">
        <v>4</v>
      </c>
      <c r="F5" s="2">
        <v>30</v>
      </c>
    </row>
    <row r="6" spans="1:6" x14ac:dyDescent="0.25">
      <c r="A6" s="2" t="s">
        <v>1</v>
      </c>
      <c r="B6" s="2">
        <v>36.299999999999997</v>
      </c>
      <c r="C6" s="2">
        <v>17.600000000000001</v>
      </c>
      <c r="D6" s="2">
        <v>49.5</v>
      </c>
      <c r="E6" s="2">
        <v>6.6</v>
      </c>
    </row>
    <row r="8" spans="1:6" x14ac:dyDescent="0.25">
      <c r="A8" s="5"/>
      <c r="B8" s="3" t="s">
        <v>4</v>
      </c>
      <c r="C8" s="3"/>
      <c r="D8" s="3"/>
      <c r="E8" s="3"/>
      <c r="F8" s="2" t="s">
        <v>5</v>
      </c>
    </row>
    <row r="9" spans="1:6" x14ac:dyDescent="0.25">
      <c r="A9" s="2"/>
      <c r="B9" s="2">
        <v>0</v>
      </c>
      <c r="C9" s="2">
        <v>0</v>
      </c>
      <c r="D9" s="2">
        <v>18</v>
      </c>
      <c r="E9" s="2">
        <v>0</v>
      </c>
      <c r="F9" s="2">
        <f>SUM(B9:E9)</f>
        <v>18</v>
      </c>
    </row>
    <row r="10" spans="1:6" x14ac:dyDescent="0.25">
      <c r="A10" s="2"/>
      <c r="B10" s="2">
        <v>28</v>
      </c>
      <c r="C10" s="2">
        <v>17.600000000000001</v>
      </c>
      <c r="D10" s="2">
        <v>0</v>
      </c>
      <c r="E10" s="2">
        <v>6.3999999999999968</v>
      </c>
      <c r="F10" s="2">
        <f>SUM(B10:E10)</f>
        <v>52</v>
      </c>
    </row>
    <row r="11" spans="1:6" x14ac:dyDescent="0.25">
      <c r="A11" s="2"/>
      <c r="B11" s="2">
        <v>0</v>
      </c>
      <c r="C11" s="2">
        <v>0</v>
      </c>
      <c r="D11" s="2">
        <v>30</v>
      </c>
      <c r="E11" s="4">
        <v>0</v>
      </c>
      <c r="F11" s="2">
        <f>SUM(B11:E11)</f>
        <v>30</v>
      </c>
    </row>
    <row r="12" spans="1:6" x14ac:dyDescent="0.25">
      <c r="A12" s="2" t="s">
        <v>5</v>
      </c>
      <c r="B12" s="2">
        <f>SUM(B9:B11)</f>
        <v>28</v>
      </c>
      <c r="C12" s="2">
        <f>SUM(C9:C11)</f>
        <v>17.600000000000001</v>
      </c>
      <c r="D12" s="2">
        <f>SUM(D9:D11)</f>
        <v>48</v>
      </c>
      <c r="E12" s="2">
        <f>SUM(E9:E11)</f>
        <v>6.3999999999999968</v>
      </c>
      <c r="F12" s="5"/>
    </row>
    <row r="14" spans="1:6" x14ac:dyDescent="0.25">
      <c r="A14" s="1" t="s">
        <v>6</v>
      </c>
      <c r="B14" s="1"/>
      <c r="C14" s="1"/>
      <c r="D14" s="1"/>
      <c r="E14">
        <f>SUMPRODUCT(B3:E5,B9:E11)</f>
        <v>474.4</v>
      </c>
    </row>
  </sheetData>
  <mergeCells count="3">
    <mergeCell ref="B1:E1"/>
    <mergeCell ref="B8:E8"/>
    <mergeCell ref="A14:D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"/>
  <sheetViews>
    <sheetView workbookViewId="0">
      <selection activeCell="P5" sqref="P5"/>
    </sheetView>
  </sheetViews>
  <sheetFormatPr defaultRowHeight="15" x14ac:dyDescent="0.25"/>
  <cols>
    <col min="1" max="1" width="19.85546875" bestFit="1" customWidth="1"/>
    <col min="10" max="10" width="3" bestFit="1" customWidth="1"/>
    <col min="12" max="12" width="12.5703125" customWidth="1"/>
    <col min="13" max="13" width="3" bestFit="1" customWidth="1"/>
    <col min="15" max="15" width="3" bestFit="1" customWidth="1"/>
  </cols>
  <sheetData>
    <row r="1" spans="1:16" x14ac:dyDescent="0.25">
      <c r="A1" s="7" t="s">
        <v>7</v>
      </c>
      <c r="B1" s="7" t="s">
        <v>17</v>
      </c>
      <c r="C1" s="7" t="s">
        <v>18</v>
      </c>
      <c r="D1" s="7" t="s">
        <v>19</v>
      </c>
      <c r="E1" s="7" t="s">
        <v>20</v>
      </c>
      <c r="F1" s="7" t="s">
        <v>21</v>
      </c>
      <c r="G1" s="7" t="s">
        <v>22</v>
      </c>
      <c r="H1" s="7" t="s">
        <v>23</v>
      </c>
      <c r="I1" s="7" t="s">
        <v>24</v>
      </c>
    </row>
    <row r="2" spans="1:16" x14ac:dyDescent="0.25">
      <c r="A2" s="9" t="s">
        <v>8</v>
      </c>
      <c r="B2" s="11">
        <v>155</v>
      </c>
      <c r="C2" s="12">
        <v>224.06976740072662</v>
      </c>
      <c r="D2" s="12">
        <v>280</v>
      </c>
      <c r="E2" s="12">
        <v>300</v>
      </c>
      <c r="F2" s="12">
        <v>350</v>
      </c>
      <c r="G2" s="12">
        <v>220</v>
      </c>
      <c r="H2" s="11">
        <v>100</v>
      </c>
      <c r="I2" s="12">
        <v>199.62209309866802</v>
      </c>
    </row>
    <row r="3" spans="1:16" x14ac:dyDescent="0.25">
      <c r="A3" s="10"/>
      <c r="B3" s="10"/>
      <c r="C3" s="10"/>
      <c r="D3" s="10"/>
      <c r="E3" s="10"/>
      <c r="F3" s="10"/>
      <c r="G3" s="10"/>
      <c r="H3" s="10"/>
      <c r="I3" s="10"/>
      <c r="K3" s="8" t="s">
        <v>27</v>
      </c>
      <c r="L3" s="8" t="s">
        <v>29</v>
      </c>
      <c r="N3" s="18" t="s">
        <v>32</v>
      </c>
      <c r="P3" s="18" t="s">
        <v>33</v>
      </c>
    </row>
    <row r="4" spans="1:16" x14ac:dyDescent="0.25">
      <c r="A4" s="13" t="s">
        <v>9</v>
      </c>
      <c r="B4" s="14" t="s">
        <v>28</v>
      </c>
      <c r="C4" s="15"/>
      <c r="D4" s="15"/>
      <c r="E4" s="15"/>
      <c r="F4" s="15"/>
      <c r="G4" s="15"/>
      <c r="H4" s="14"/>
      <c r="I4" s="15"/>
      <c r="K4" s="8"/>
      <c r="L4" s="8"/>
      <c r="N4" s="18"/>
      <c r="P4" s="18"/>
    </row>
    <row r="5" spans="1:16" x14ac:dyDescent="0.25">
      <c r="A5" s="7" t="s">
        <v>10</v>
      </c>
      <c r="B5" s="16">
        <v>0.24</v>
      </c>
      <c r="C5" s="16">
        <v>0.23</v>
      </c>
      <c r="D5" s="16">
        <v>0.19</v>
      </c>
      <c r="E5" s="16">
        <v>0.15</v>
      </c>
      <c r="F5" s="16">
        <v>0.19</v>
      </c>
      <c r="G5" s="16">
        <v>0.18</v>
      </c>
      <c r="H5" s="16">
        <v>0.23</v>
      </c>
      <c r="I5" s="16">
        <v>0.18</v>
      </c>
      <c r="K5" s="2">
        <v>2</v>
      </c>
      <c r="L5" s="2">
        <f>SUMPRODUCT(B$2:I$2,B5:I5)</f>
        <v>351.96802325992741</v>
      </c>
      <c r="M5" s="19" t="s">
        <v>31</v>
      </c>
      <c r="N5" s="20">
        <v>624</v>
      </c>
      <c r="P5" s="2"/>
    </row>
    <row r="6" spans="1:16" x14ac:dyDescent="0.25">
      <c r="A6" s="7" t="s">
        <v>11</v>
      </c>
      <c r="B6" s="16">
        <v>0.05</v>
      </c>
      <c r="C6" s="16">
        <v>0.03</v>
      </c>
      <c r="D6" s="16">
        <v>0</v>
      </c>
      <c r="E6" s="16">
        <v>0.7</v>
      </c>
      <c r="F6" s="16">
        <v>0.1</v>
      </c>
      <c r="G6" s="16">
        <v>0</v>
      </c>
      <c r="H6" s="16">
        <v>0.08</v>
      </c>
      <c r="I6" s="16">
        <v>0.08</v>
      </c>
      <c r="K6" s="2">
        <v>3</v>
      </c>
      <c r="L6" s="2">
        <f t="shared" ref="L6:L11" si="0">SUMPRODUCT(B$2:I$2,B6:I6)</f>
        <v>283.44186046991524</v>
      </c>
      <c r="N6" s="20">
        <v>936</v>
      </c>
      <c r="P6" s="2"/>
    </row>
    <row r="7" spans="1:16" x14ac:dyDescent="0.25">
      <c r="A7" s="7" t="s">
        <v>12</v>
      </c>
      <c r="B7" s="16">
        <v>0.37</v>
      </c>
      <c r="C7" s="16">
        <v>0.59</v>
      </c>
      <c r="D7" s="16">
        <v>0.71</v>
      </c>
      <c r="E7" s="16">
        <v>0.5</v>
      </c>
      <c r="F7" s="16">
        <v>0.32</v>
      </c>
      <c r="G7" s="16">
        <v>0.74</v>
      </c>
      <c r="H7" s="16">
        <v>0.43</v>
      </c>
      <c r="I7" s="16">
        <v>0.4</v>
      </c>
      <c r="K7" s="2">
        <v>3</v>
      </c>
      <c r="L7" s="2">
        <f t="shared" si="0"/>
        <v>936.0000000058958</v>
      </c>
      <c r="N7" s="20">
        <v>936</v>
      </c>
      <c r="P7" s="2"/>
    </row>
    <row r="8" spans="1:16" x14ac:dyDescent="0.25">
      <c r="A8" s="7" t="s">
        <v>13</v>
      </c>
      <c r="B8" s="16">
        <v>0.11</v>
      </c>
      <c r="C8" s="16">
        <v>0.11</v>
      </c>
      <c r="D8" s="16">
        <v>0.12</v>
      </c>
      <c r="E8" s="16">
        <v>0.1</v>
      </c>
      <c r="F8" s="16">
        <v>0.09</v>
      </c>
      <c r="G8" s="16">
        <v>0.12</v>
      </c>
      <c r="H8" s="16">
        <v>7.0000000000000007E-2</v>
      </c>
      <c r="I8" s="16">
        <v>0.1</v>
      </c>
      <c r="K8" s="2">
        <v>1</v>
      </c>
      <c r="L8" s="2">
        <f t="shared" si="0"/>
        <v>190.15988372394673</v>
      </c>
      <c r="N8" s="20">
        <v>312</v>
      </c>
      <c r="P8" s="2"/>
    </row>
    <row r="9" spans="1:16" x14ac:dyDescent="0.25">
      <c r="A9" s="7" t="s">
        <v>14</v>
      </c>
      <c r="B9" s="16">
        <v>0.28999999999999998</v>
      </c>
      <c r="C9" s="16">
        <v>0.22</v>
      </c>
      <c r="D9" s="16">
        <v>0</v>
      </c>
      <c r="E9" s="16">
        <v>0.2</v>
      </c>
      <c r="F9" s="16">
        <v>0.16</v>
      </c>
      <c r="G9" s="16">
        <v>0.28999999999999998</v>
      </c>
      <c r="H9" s="16">
        <v>0.14000000000000001</v>
      </c>
      <c r="I9" s="16">
        <v>0.12</v>
      </c>
      <c r="K9" s="2">
        <v>1</v>
      </c>
      <c r="L9" s="2">
        <f t="shared" si="0"/>
        <v>312</v>
      </c>
      <c r="N9" s="20">
        <v>312</v>
      </c>
      <c r="P9" s="2"/>
    </row>
    <row r="10" spans="1:16" x14ac:dyDescent="0.25">
      <c r="A10" s="7" t="s">
        <v>15</v>
      </c>
      <c r="B10" s="16">
        <v>0</v>
      </c>
      <c r="C10" s="16">
        <v>0.57999999999999996</v>
      </c>
      <c r="D10" s="16">
        <v>0.7</v>
      </c>
      <c r="E10" s="16">
        <v>0.69</v>
      </c>
      <c r="F10" s="16">
        <v>0.46</v>
      </c>
      <c r="G10" s="16">
        <v>0.31</v>
      </c>
      <c r="H10" s="16">
        <v>0.31</v>
      </c>
      <c r="I10" s="16">
        <v>0.65</v>
      </c>
      <c r="K10" s="2">
        <v>3</v>
      </c>
      <c r="L10" s="2">
        <f t="shared" si="0"/>
        <v>922.91482560655561</v>
      </c>
      <c r="N10" s="20">
        <v>936</v>
      </c>
      <c r="P10" s="2"/>
    </row>
    <row r="11" spans="1:16" x14ac:dyDescent="0.25">
      <c r="A11" s="7" t="s">
        <v>16</v>
      </c>
      <c r="B11" s="16">
        <v>0.08</v>
      </c>
      <c r="C11" s="16">
        <v>0.01</v>
      </c>
      <c r="D11" s="16">
        <v>0.08</v>
      </c>
      <c r="E11" s="16">
        <v>0.11</v>
      </c>
      <c r="F11" s="16">
        <v>0.12</v>
      </c>
      <c r="G11" s="16">
        <v>0.08</v>
      </c>
      <c r="H11" s="16">
        <v>0</v>
      </c>
      <c r="I11" s="16">
        <v>0.12</v>
      </c>
      <c r="K11" s="2">
        <v>2</v>
      </c>
      <c r="L11" s="2">
        <f t="shared" si="0"/>
        <v>153.59534884584744</v>
      </c>
      <c r="N11" s="20">
        <v>624</v>
      </c>
      <c r="P11" s="2"/>
    </row>
    <row r="13" spans="1:16" x14ac:dyDescent="0.25">
      <c r="A13" s="6" t="s">
        <v>25</v>
      </c>
      <c r="B13" s="6">
        <v>5</v>
      </c>
      <c r="C13" s="6">
        <v>6</v>
      </c>
      <c r="D13" s="6">
        <v>8</v>
      </c>
      <c r="E13" s="6">
        <v>6</v>
      </c>
      <c r="F13" s="6">
        <v>7</v>
      </c>
      <c r="G13" s="6">
        <v>8</v>
      </c>
      <c r="H13" s="6">
        <v>6</v>
      </c>
      <c r="I13" s="6">
        <v>4</v>
      </c>
    </row>
    <row r="15" spans="1:16" x14ac:dyDescent="0.25">
      <c r="A15" s="6" t="s">
        <v>26</v>
      </c>
      <c r="B15" s="6">
        <v>200</v>
      </c>
      <c r="C15" s="6">
        <v>350</v>
      </c>
      <c r="D15" s="6">
        <v>280</v>
      </c>
      <c r="E15" s="6">
        <v>300</v>
      </c>
      <c r="F15" s="6">
        <v>350</v>
      </c>
      <c r="G15" s="6">
        <v>220</v>
      </c>
      <c r="H15" s="6">
        <v>100</v>
      </c>
      <c r="I15" s="6">
        <v>200</v>
      </c>
    </row>
    <row r="17" spans="1:2" x14ac:dyDescent="0.25">
      <c r="A17" s="2" t="s">
        <v>30</v>
      </c>
      <c r="B17" s="17">
        <f>SUMPRODUCT(B2:I2,B13:I13)</f>
        <v>11767.906976799031</v>
      </c>
    </row>
  </sheetData>
  <mergeCells count="5">
    <mergeCell ref="B4:I4"/>
    <mergeCell ref="K3:K4"/>
    <mergeCell ref="L3:L4"/>
    <mergeCell ref="N3:N4"/>
    <mergeCell ref="P3:P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abSelected="1" workbookViewId="0">
      <selection activeCell="J12" sqref="J12"/>
    </sheetView>
  </sheetViews>
  <sheetFormatPr defaultRowHeight="15" x14ac:dyDescent="0.25"/>
  <cols>
    <col min="2" max="2" width="13.85546875" bestFit="1" customWidth="1"/>
  </cols>
  <sheetData>
    <row r="1" spans="1:7" x14ac:dyDescent="0.25">
      <c r="A1" s="22"/>
      <c r="B1" s="22"/>
      <c r="C1" s="22"/>
      <c r="D1" s="22"/>
      <c r="E1" s="22"/>
      <c r="F1" s="22"/>
      <c r="G1" s="22"/>
    </row>
    <row r="2" spans="1:7" x14ac:dyDescent="0.25">
      <c r="A2" s="22"/>
      <c r="B2" s="22"/>
      <c r="C2" s="22"/>
      <c r="D2" s="22"/>
      <c r="E2" s="22"/>
      <c r="F2" s="22"/>
      <c r="G2" s="22"/>
    </row>
    <row r="3" spans="1:7" x14ac:dyDescent="0.25">
      <c r="A3" s="22"/>
      <c r="B3" s="22"/>
      <c r="C3" s="22" t="s">
        <v>34</v>
      </c>
      <c r="D3" s="22" t="s">
        <v>35</v>
      </c>
      <c r="E3" s="22"/>
      <c r="F3" s="21" t="s">
        <v>37</v>
      </c>
      <c r="G3" s="22"/>
    </row>
    <row r="4" spans="1:7" x14ac:dyDescent="0.25">
      <c r="A4" s="22"/>
      <c r="B4" s="22"/>
      <c r="C4" s="22">
        <v>53687091.200000003</v>
      </c>
      <c r="D4" s="22">
        <v>53687091.200000003</v>
      </c>
      <c r="E4" s="22"/>
      <c r="F4" s="21"/>
      <c r="G4" s="22"/>
    </row>
    <row r="5" spans="1:7" x14ac:dyDescent="0.25">
      <c r="A5" s="22"/>
      <c r="B5" s="22" t="s">
        <v>36</v>
      </c>
      <c r="C5" s="22">
        <v>6</v>
      </c>
      <c r="D5" s="22">
        <v>9</v>
      </c>
      <c r="E5" s="22"/>
      <c r="F5" s="22">
        <f>SUMPRODUCT(C4:D4)</f>
        <v>107374182.40000001</v>
      </c>
      <c r="G5" s="22" t="s">
        <v>38</v>
      </c>
    </row>
    <row r="6" spans="1:7" x14ac:dyDescent="0.25">
      <c r="A6" s="22"/>
      <c r="B6" s="22"/>
      <c r="C6" s="22"/>
      <c r="D6" s="22"/>
      <c r="E6" s="22"/>
      <c r="F6" s="22"/>
      <c r="G6" s="22"/>
    </row>
    <row r="7" spans="1:7" x14ac:dyDescent="0.25">
      <c r="A7" s="22"/>
      <c r="B7" s="22"/>
      <c r="C7" s="22"/>
      <c r="D7" s="22"/>
      <c r="E7" s="22"/>
      <c r="F7" s="22"/>
      <c r="G7" s="22"/>
    </row>
    <row r="8" spans="1:7" x14ac:dyDescent="0.25">
      <c r="A8" s="22"/>
      <c r="B8" s="22"/>
      <c r="C8" s="22"/>
      <c r="D8" s="22"/>
      <c r="E8" s="22"/>
      <c r="F8" s="22"/>
      <c r="G8" s="22"/>
    </row>
    <row r="9" spans="1:7" x14ac:dyDescent="0.25">
      <c r="A9" s="22"/>
      <c r="B9" s="22"/>
      <c r="C9" s="22"/>
      <c r="D9" s="22"/>
      <c r="E9" s="22"/>
      <c r="F9" s="22"/>
      <c r="G9" s="22"/>
    </row>
    <row r="10" spans="1:7" x14ac:dyDescent="0.25">
      <c r="A10" s="22"/>
      <c r="B10" s="22"/>
      <c r="C10" s="22"/>
      <c r="D10" s="22"/>
      <c r="E10" s="22"/>
      <c r="F10" s="22"/>
      <c r="G10" s="22"/>
    </row>
    <row r="11" spans="1:7" x14ac:dyDescent="0.25">
      <c r="A11" s="22"/>
      <c r="B11" s="22" t="s">
        <v>39</v>
      </c>
      <c r="C11" s="22">
        <v>0.2</v>
      </c>
      <c r="D11" s="22">
        <v>0.1</v>
      </c>
      <c r="E11" s="22" t="s">
        <v>31</v>
      </c>
      <c r="F11" s="22">
        <v>40</v>
      </c>
      <c r="G11" s="22">
        <f>SUMPRODUCT(C11,D11)</f>
        <v>2.0000000000000004E-2</v>
      </c>
    </row>
    <row r="12" spans="1:7" x14ac:dyDescent="0.25">
      <c r="A12" s="22"/>
      <c r="B12" s="22" t="s">
        <v>40</v>
      </c>
      <c r="C12" s="22">
        <v>0.1</v>
      </c>
      <c r="D12" s="22">
        <v>0.3</v>
      </c>
      <c r="E12" s="22" t="s">
        <v>31</v>
      </c>
      <c r="F12" s="22">
        <v>60</v>
      </c>
      <c r="G12" s="22">
        <f t="shared" ref="G12:G13" si="0">SUMPRODUCT(C12,D12)</f>
        <v>0.03</v>
      </c>
    </row>
    <row r="13" spans="1:7" x14ac:dyDescent="0.25">
      <c r="A13" s="22"/>
      <c r="B13" s="22" t="s">
        <v>41</v>
      </c>
      <c r="C13" s="22">
        <v>1.2</v>
      </c>
      <c r="D13" s="22">
        <v>1.5</v>
      </c>
      <c r="E13" s="22" t="s">
        <v>31</v>
      </c>
      <c r="F13" s="22">
        <v>371.1</v>
      </c>
      <c r="G13" s="22">
        <f t="shared" si="0"/>
        <v>1.7999999999999998</v>
      </c>
    </row>
  </sheetData>
  <mergeCells count="1">
    <mergeCell ref="F3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Академия ТОП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2026-04-03T07:09:12Z</dcterms:created>
  <dcterms:modified xsi:type="dcterms:W3CDTF">2026-04-03T09:14:52Z</dcterms:modified>
</cp:coreProperties>
</file>