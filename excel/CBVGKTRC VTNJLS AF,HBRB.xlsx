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21075" windowHeight="8265" activeTab="4"/>
  </bookViews>
  <sheets>
    <sheet name="Лист1" sheetId="1" r:id="rId1"/>
    <sheet name="Лист2" sheetId="2" r:id="rId2"/>
    <sheet name="Лист3" sheetId="3" r:id="rId3"/>
    <sheet name="Лист4" sheetId="4" r:id="rId4"/>
    <sheet name="Лист5" sheetId="5" r:id="rId5"/>
  </sheets>
  <definedNames>
    <definedName name="solver_adj" localSheetId="0" hidden="1">Лист1!$B$3:$D$3</definedName>
    <definedName name="solver_adj" localSheetId="1" hidden="1">Лист2!$B$10:$C$10</definedName>
    <definedName name="solver_adj" localSheetId="2" hidden="1">Лист3!$B$10:$C$10</definedName>
    <definedName name="solver_adj" localSheetId="3" hidden="1">Лист4!$B$10:$C$10</definedName>
    <definedName name="solver_adj" localSheetId="4" hidden="1">Лист5!$B$11:$C$11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drv" localSheetId="0" hidden="1">1</definedName>
    <definedName name="solver_drv" localSheetId="1" hidden="1">2</definedName>
    <definedName name="solver_drv" localSheetId="2" hidden="1">2</definedName>
    <definedName name="solver_drv" localSheetId="3" hidden="1">2</definedName>
    <definedName name="solver_drv" localSheetId="4" hidden="1">2</definedName>
    <definedName name="solver_eng" localSheetId="0" hidden="1">2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eng" localSheetId="4" hidden="1">2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lhs1" localSheetId="0" hidden="1">Лист1!$B$3:$D$3</definedName>
    <definedName name="solver_lhs1" localSheetId="1" hidden="1">Лист2!$B$10:$C$10</definedName>
    <definedName name="solver_lhs1" localSheetId="2" hidden="1">Лист3!$B$10:$C$10</definedName>
    <definedName name="solver_lhs1" localSheetId="3" hidden="1">Лист4!$B$10:$C$10</definedName>
    <definedName name="solver_lhs1" localSheetId="4" hidden="1">Лист5!$B$11:$C$11</definedName>
    <definedName name="solver_lhs2" localSheetId="0" hidden="1">Лист1!$E$13:$E$17</definedName>
    <definedName name="solver_lhs2" localSheetId="1" hidden="1">Лист2!$D$4:$D$6</definedName>
    <definedName name="solver_lhs2" localSheetId="2" hidden="1">Лист3!$D$4:$D$6</definedName>
    <definedName name="solver_lhs2" localSheetId="3" hidden="1">Лист4!$D$4:$D$6</definedName>
    <definedName name="solver_lhs2" localSheetId="4" hidden="1">Лист5!$D$4:$D$7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um" localSheetId="0" hidden="1">2</definedName>
    <definedName name="solver_num" localSheetId="1" hidden="1">2</definedName>
    <definedName name="solver_num" localSheetId="2" hidden="1">2</definedName>
    <definedName name="solver_num" localSheetId="3" hidden="1">2</definedName>
    <definedName name="solver_num" localSheetId="4" hidden="1">2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opt" localSheetId="0" hidden="1">Лист1!$B$9</definedName>
    <definedName name="solver_opt" localSheetId="1" hidden="1">Лист2!$B$14</definedName>
    <definedName name="solver_opt" localSheetId="2" hidden="1">Лист3!$B$14</definedName>
    <definedName name="solver_opt" localSheetId="3" hidden="1">Лист4!$D$6</definedName>
    <definedName name="solver_opt" localSheetId="4" hidden="1">Лист5!$B$15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rbv" localSheetId="0" hidden="1">1</definedName>
    <definedName name="solver_rbv" localSheetId="1" hidden="1">2</definedName>
    <definedName name="solver_rbv" localSheetId="2" hidden="1">2</definedName>
    <definedName name="solver_rbv" localSheetId="3" hidden="1">2</definedName>
    <definedName name="solver_rbv" localSheetId="4" hidden="1">2</definedName>
    <definedName name="solver_rel1" localSheetId="0" hidden="1">3</definedName>
    <definedName name="solver_rel1" localSheetId="1" hidden="1">3</definedName>
    <definedName name="solver_rel1" localSheetId="2" hidden="1">3</definedName>
    <definedName name="solver_rel1" localSheetId="3" hidden="1">3</definedName>
    <definedName name="solver_rel1" localSheetId="4" hidden="1">3</definedName>
    <definedName name="solver_rel2" localSheetId="0" hidden="1">3</definedName>
    <definedName name="solver_rel2" localSheetId="1" hidden="1">1</definedName>
    <definedName name="solver_rel2" localSheetId="2" hidden="1">1</definedName>
    <definedName name="solver_rel2" localSheetId="3" hidden="1">1</definedName>
    <definedName name="solver_rel2" localSheetId="4" hidden="1">1</definedName>
    <definedName name="solver_rhs1" localSheetId="0" hidden="1">0</definedName>
    <definedName name="solver_rhs1" localSheetId="1" hidden="1">0</definedName>
    <definedName name="solver_rhs1" localSheetId="2" hidden="1">0</definedName>
    <definedName name="solver_rhs1" localSheetId="3" hidden="1">0</definedName>
    <definedName name="solver_rhs1" localSheetId="4" hidden="1">0</definedName>
    <definedName name="solver_rhs2" localSheetId="0" hidden="1">Лист1!$G$13:$G$17</definedName>
    <definedName name="solver_rhs2" localSheetId="1" hidden="1">Лист2!$F$4:$F$6</definedName>
    <definedName name="solver_rhs2" localSheetId="2" hidden="1">Лист3!$F$4:$F$6</definedName>
    <definedName name="solver_rhs2" localSheetId="3" hidden="1">Лист4!$F$4:$F$6</definedName>
    <definedName name="solver_rhs2" localSheetId="4" hidden="1">Лист5!$F$4:$F$7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scl" localSheetId="0" hidden="1">1</definedName>
    <definedName name="solver_scl" localSheetId="1" hidden="1">2</definedName>
    <definedName name="solver_scl" localSheetId="2" hidden="1">2</definedName>
    <definedName name="solver_scl" localSheetId="3" hidden="1">2</definedName>
    <definedName name="solver_scl" localSheetId="4" hidden="1">2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yp" localSheetId="0" hidden="1">2</definedName>
    <definedName name="solver_typ" localSheetId="1" hidden="1">1</definedName>
    <definedName name="solver_typ" localSheetId="2" hidden="1">1</definedName>
    <definedName name="solver_typ" localSheetId="3" hidden="1">1</definedName>
    <definedName name="solver_typ" localSheetId="4" hidden="1">1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er" localSheetId="0" hidden="1">3</definedName>
    <definedName name="solver_ver" localSheetId="1" hidden="1">3</definedName>
    <definedName name="solver_ver" localSheetId="2" hidden="1">3</definedName>
    <definedName name="solver_ver" localSheetId="3" hidden="1">3</definedName>
    <definedName name="solver_ver" localSheetId="4" hidden="1">3</definedName>
  </definedNames>
  <calcPr calcId="145621" iterate="1"/>
</workbook>
</file>

<file path=xl/calcChain.xml><?xml version="1.0" encoding="utf-8"?>
<calcChain xmlns="http://schemas.openxmlformats.org/spreadsheetml/2006/main">
  <c r="B15" i="5" l="1"/>
  <c r="D7" i="5"/>
  <c r="D4" i="5"/>
  <c r="D6" i="5"/>
  <c r="D5" i="5"/>
  <c r="B14" i="4"/>
  <c r="D6" i="4"/>
  <c r="D5" i="4"/>
  <c r="D4" i="4"/>
  <c r="D5" i="3"/>
  <c r="D6" i="3"/>
  <c r="D4" i="3"/>
  <c r="D4" i="2"/>
  <c r="B14" i="3"/>
  <c r="B14" i="2"/>
  <c r="B9" i="1"/>
  <c r="E14" i="1"/>
  <c r="D5" i="2"/>
  <c r="D6" i="2"/>
  <c r="E13" i="1"/>
  <c r="E15" i="1"/>
  <c r="E16" i="1"/>
  <c r="E17" i="1"/>
</calcChain>
</file>

<file path=xl/sharedStrings.xml><?xml version="1.0" encoding="utf-8"?>
<sst xmlns="http://schemas.openxmlformats.org/spreadsheetml/2006/main" count="79" uniqueCount="44">
  <si>
    <t>имя</t>
  </si>
  <si>
    <t>значение</t>
  </si>
  <si>
    <t>x1</t>
  </si>
  <si>
    <t>x2</t>
  </si>
  <si>
    <t>x3</t>
  </si>
  <si>
    <t>коэф цф</t>
  </si>
  <si>
    <t>направленое значение</t>
  </si>
  <si>
    <t>питательные вещества</t>
  </si>
  <si>
    <t>белки</t>
  </si>
  <si>
    <t>жиры</t>
  </si>
  <si>
    <t>углеводы</t>
  </si>
  <si>
    <t>вода</t>
  </si>
  <si>
    <t>витамины</t>
  </si>
  <si>
    <t>требоваемое мин в сутки</t>
  </si>
  <si>
    <t>ограничений</t>
  </si>
  <si>
    <t>целевая функция</t>
  </si>
  <si>
    <t>переменые</t>
  </si>
  <si>
    <t>min</t>
  </si>
  <si>
    <t>&gt;=</t>
  </si>
  <si>
    <t>а</t>
  </si>
  <si>
    <t>б</t>
  </si>
  <si>
    <t>расходы норма сырья (кГ) на 1 изделие</t>
  </si>
  <si>
    <t>I</t>
  </si>
  <si>
    <t>II</t>
  </si>
  <si>
    <t>III</t>
  </si>
  <si>
    <t>фон времени</t>
  </si>
  <si>
    <t>прибыль</t>
  </si>
  <si>
    <t>коеф</t>
  </si>
  <si>
    <t>max</t>
  </si>
  <si>
    <t>затраченое время</t>
  </si>
  <si>
    <t>&lt;=</t>
  </si>
  <si>
    <t>B1</t>
  </si>
  <si>
    <t>B2</t>
  </si>
  <si>
    <t>ЗАПАСЫ СЫРЬЯ КГ</t>
  </si>
  <si>
    <t>А1</t>
  </si>
  <si>
    <t>А2</t>
  </si>
  <si>
    <t>А3</t>
  </si>
  <si>
    <t>ЦЕНА ЕД ИЗДЕЛИЯ ТЫС Р</t>
  </si>
  <si>
    <t>расход сырь на изг изд кг</t>
  </si>
  <si>
    <t>сырье цена ед издел</t>
  </si>
  <si>
    <t>х1</t>
  </si>
  <si>
    <t>х2</t>
  </si>
  <si>
    <t>макс</t>
  </si>
  <si>
    <t>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</si>
</sst>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7" formatCode="0.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1" xfId="0" applyBorder="1" applyAlignment="1"/>
    <xf numFmtId="0" fontId="0" fillId="0" borderId="0" xfId="0" applyBorder="1"/>
    <xf numFmtId="167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7" fontId="0" fillId="0" borderId="1" xfId="0" applyNumberFormat="1" applyBorder="1"/>
    <xf numFmtId="0" fontId="0" fillId="0" borderId="1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selection activeCell="B9" sqref="B9"/>
    </sheetView>
  </sheetViews>
  <sheetFormatPr defaultRowHeight="15" x14ac:dyDescent="0.25"/>
  <cols>
    <col min="1" max="1" width="13.85546875" customWidth="1"/>
    <col min="7" max="7" width="17" customWidth="1"/>
  </cols>
  <sheetData>
    <row r="1" spans="1:7" x14ac:dyDescent="0.25">
      <c r="B1" s="1" t="s">
        <v>16</v>
      </c>
      <c r="C1" s="1"/>
      <c r="D1" s="1"/>
    </row>
    <row r="2" spans="1:7" x14ac:dyDescent="0.25">
      <c r="A2" t="s">
        <v>0</v>
      </c>
      <c r="B2" t="s">
        <v>2</v>
      </c>
      <c r="C2" t="s">
        <v>3</v>
      </c>
      <c r="D2" t="s">
        <v>4</v>
      </c>
    </row>
    <row r="3" spans="1:7" x14ac:dyDescent="0.25">
      <c r="A3" t="s">
        <v>1</v>
      </c>
      <c r="B3" s="11">
        <v>0.6666666666666663</v>
      </c>
      <c r="C3" s="11">
        <v>4.166666666666667</v>
      </c>
      <c r="D3" s="11">
        <v>0.33333333333333376</v>
      </c>
    </row>
    <row r="6" spans="1:7" x14ac:dyDescent="0.25">
      <c r="B6" s="8" t="s">
        <v>15</v>
      </c>
      <c r="C6" s="8"/>
      <c r="D6" s="8"/>
    </row>
    <row r="7" spans="1:7" x14ac:dyDescent="0.25">
      <c r="A7" t="s">
        <v>5</v>
      </c>
      <c r="B7" s="9">
        <v>40</v>
      </c>
      <c r="C7" s="9">
        <v>20</v>
      </c>
      <c r="D7" s="9">
        <v>30</v>
      </c>
    </row>
    <row r="8" spans="1:7" x14ac:dyDescent="0.25">
      <c r="A8" s="2" t="s">
        <v>6</v>
      </c>
      <c r="B8" t="s">
        <v>17</v>
      </c>
    </row>
    <row r="9" spans="1:7" x14ac:dyDescent="0.25">
      <c r="A9" s="2"/>
      <c r="B9">
        <f>SUMPRODUCT(B3:D3,B7:D7)</f>
        <v>120.00000000000001</v>
      </c>
    </row>
    <row r="11" spans="1:7" x14ac:dyDescent="0.25">
      <c r="B11" s="7" t="s">
        <v>14</v>
      </c>
      <c r="C11" s="7"/>
      <c r="D11" s="7"/>
    </row>
    <row r="12" spans="1:7" ht="46.5" customHeight="1" x14ac:dyDescent="0.25">
      <c r="A12" s="4" t="s">
        <v>7</v>
      </c>
      <c r="G12" s="4" t="s">
        <v>13</v>
      </c>
    </row>
    <row r="13" spans="1:7" x14ac:dyDescent="0.25">
      <c r="A13" s="5" t="s">
        <v>8</v>
      </c>
      <c r="B13" s="5">
        <v>1</v>
      </c>
      <c r="C13" s="5">
        <v>5</v>
      </c>
      <c r="D13" s="5">
        <v>3</v>
      </c>
      <c r="E13">
        <f>SUMPRODUCT($B$3:$D$3,B13:D13)</f>
        <v>22.500000000000004</v>
      </c>
      <c r="F13" t="s">
        <v>18</v>
      </c>
      <c r="G13" s="5">
        <v>10</v>
      </c>
    </row>
    <row r="14" spans="1:7" x14ac:dyDescent="0.25">
      <c r="A14" s="5" t="s">
        <v>9</v>
      </c>
      <c r="B14" s="5">
        <v>3</v>
      </c>
      <c r="C14" s="5">
        <v>2</v>
      </c>
      <c r="D14" s="5">
        <v>5</v>
      </c>
      <c r="E14">
        <f>SUMPRODUCT($B$3:$D$3,B14:D14)</f>
        <v>12</v>
      </c>
      <c r="F14" t="s">
        <v>18</v>
      </c>
      <c r="G14" s="5">
        <v>12</v>
      </c>
    </row>
    <row r="15" spans="1:7" x14ac:dyDescent="0.25">
      <c r="A15" s="5" t="s">
        <v>10</v>
      </c>
      <c r="B15" s="5">
        <v>2</v>
      </c>
      <c r="C15" s="5">
        <v>4</v>
      </c>
      <c r="D15" s="5">
        <v>0</v>
      </c>
      <c r="E15">
        <f>SUMPRODUCT($B$3:$D$3,B15:D15)</f>
        <v>18</v>
      </c>
      <c r="F15" t="s">
        <v>18</v>
      </c>
      <c r="G15" s="5">
        <v>16</v>
      </c>
    </row>
    <row r="16" spans="1:7" x14ac:dyDescent="0.25">
      <c r="A16" s="5" t="s">
        <v>11</v>
      </c>
      <c r="B16" s="5">
        <v>2</v>
      </c>
      <c r="C16" s="5">
        <v>2</v>
      </c>
      <c r="D16" s="5">
        <v>1</v>
      </c>
      <c r="E16">
        <f t="shared" ref="E14:E17" si="0">SUMPRODUCT($B$3:$D$3,B16:D16)</f>
        <v>10</v>
      </c>
      <c r="F16" t="s">
        <v>18</v>
      </c>
      <c r="G16" s="5">
        <v>10</v>
      </c>
    </row>
    <row r="17" spans="1:7" x14ac:dyDescent="0.25">
      <c r="A17" s="5" t="s">
        <v>12</v>
      </c>
      <c r="B17" s="5">
        <v>1</v>
      </c>
      <c r="C17" s="5">
        <v>0</v>
      </c>
      <c r="D17" s="5">
        <v>1</v>
      </c>
      <c r="E17">
        <f t="shared" si="0"/>
        <v>1</v>
      </c>
      <c r="F17" t="s">
        <v>18</v>
      </c>
      <c r="G17" s="5">
        <v>1</v>
      </c>
    </row>
    <row r="18" spans="1:7" x14ac:dyDescent="0.25">
      <c r="G18" s="10"/>
    </row>
  </sheetData>
  <mergeCells count="4">
    <mergeCell ref="A8:A9"/>
    <mergeCell ref="B11:D11"/>
    <mergeCell ref="B6:D6"/>
    <mergeCell ref="B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B14" sqref="B14"/>
    </sheetView>
  </sheetViews>
  <sheetFormatPr defaultRowHeight="15" x14ac:dyDescent="0.25"/>
  <cols>
    <col min="4" max="4" width="17.85546875" bestFit="1" customWidth="1"/>
    <col min="6" max="6" width="13.28515625" bestFit="1" customWidth="1"/>
  </cols>
  <sheetData>
    <row r="1" spans="1:6" x14ac:dyDescent="0.25">
      <c r="A1" s="3"/>
      <c r="B1" s="12" t="s">
        <v>21</v>
      </c>
      <c r="C1" s="12"/>
      <c r="D1" s="3"/>
      <c r="E1" s="3"/>
      <c r="F1" s="3"/>
    </row>
    <row r="2" spans="1:6" x14ac:dyDescent="0.25">
      <c r="A2" s="3"/>
      <c r="B2" s="12"/>
      <c r="C2" s="12"/>
      <c r="D2" s="3"/>
      <c r="E2" s="3"/>
      <c r="F2" s="3"/>
    </row>
    <row r="3" spans="1:6" x14ac:dyDescent="0.25">
      <c r="A3" s="3"/>
      <c r="B3" s="3" t="s">
        <v>19</v>
      </c>
      <c r="C3" s="3" t="s">
        <v>20</v>
      </c>
      <c r="D3" t="s">
        <v>29</v>
      </c>
      <c r="E3" s="3"/>
      <c r="F3" s="3" t="s">
        <v>25</v>
      </c>
    </row>
    <row r="4" spans="1:6" x14ac:dyDescent="0.25">
      <c r="A4" s="3" t="s">
        <v>22</v>
      </c>
      <c r="B4" s="3">
        <v>1</v>
      </c>
      <c r="C4" s="3">
        <v>5</v>
      </c>
      <c r="D4">
        <f>SUMPRODUCT($B$10:$C$10,B4:C4)</f>
        <v>7.25</v>
      </c>
      <c r="E4" s="3" t="s">
        <v>30</v>
      </c>
      <c r="F4" s="3">
        <v>10</v>
      </c>
    </row>
    <row r="5" spans="1:6" x14ac:dyDescent="0.25">
      <c r="A5" s="3" t="s">
        <v>23</v>
      </c>
      <c r="B5" s="3">
        <v>3</v>
      </c>
      <c r="C5" s="3">
        <v>2</v>
      </c>
      <c r="D5">
        <f t="shared" ref="D5:D6" si="0">SUMPRODUCT($B$10:$C$10,B5:C5)</f>
        <v>12</v>
      </c>
      <c r="E5" s="3" t="s">
        <v>30</v>
      </c>
      <c r="F5" s="3">
        <v>12</v>
      </c>
    </row>
    <row r="6" spans="1:6" x14ac:dyDescent="0.25">
      <c r="A6" s="3" t="s">
        <v>24</v>
      </c>
      <c r="B6" s="3">
        <v>2</v>
      </c>
      <c r="C6" s="3">
        <v>4</v>
      </c>
      <c r="D6">
        <f t="shared" si="0"/>
        <v>10</v>
      </c>
      <c r="E6" s="3" t="s">
        <v>30</v>
      </c>
      <c r="F6" s="3">
        <v>10</v>
      </c>
    </row>
    <row r="7" spans="1:6" x14ac:dyDescent="0.25">
      <c r="A7" s="3" t="s">
        <v>26</v>
      </c>
      <c r="B7" s="3">
        <v>2</v>
      </c>
      <c r="C7" s="3">
        <v>3</v>
      </c>
      <c r="D7" s="3"/>
      <c r="E7" s="3"/>
      <c r="F7" s="3"/>
    </row>
    <row r="8" spans="1:6" x14ac:dyDescent="0.25">
      <c r="A8" s="3"/>
      <c r="B8" s="3"/>
      <c r="C8" s="3"/>
      <c r="D8" s="3"/>
      <c r="E8" s="3"/>
      <c r="F8" s="3"/>
    </row>
    <row r="9" spans="1:6" x14ac:dyDescent="0.25">
      <c r="A9" s="3"/>
      <c r="B9" s="3" t="s">
        <v>2</v>
      </c>
      <c r="C9" s="3" t="s">
        <v>3</v>
      </c>
      <c r="D9" s="3"/>
      <c r="E9" s="3"/>
      <c r="F9" s="3"/>
    </row>
    <row r="10" spans="1:6" x14ac:dyDescent="0.25">
      <c r="A10" s="3"/>
      <c r="B10" s="3">
        <v>3.5</v>
      </c>
      <c r="C10" s="3">
        <v>0.75</v>
      </c>
      <c r="D10" s="3"/>
      <c r="E10" s="3"/>
      <c r="F10" s="3"/>
    </row>
    <row r="11" spans="1:6" x14ac:dyDescent="0.25">
      <c r="A11" s="3"/>
      <c r="B11" s="3"/>
      <c r="C11" s="3"/>
      <c r="D11" s="3"/>
      <c r="E11" s="3"/>
      <c r="F11" s="3"/>
    </row>
    <row r="12" spans="1:6" x14ac:dyDescent="0.25">
      <c r="A12" s="3" t="s">
        <v>27</v>
      </c>
      <c r="B12" s="3">
        <v>2</v>
      </c>
      <c r="C12" s="3">
        <v>3</v>
      </c>
      <c r="D12" s="3"/>
      <c r="E12" s="3"/>
      <c r="F12" s="3"/>
    </row>
    <row r="13" spans="1:6" x14ac:dyDescent="0.25">
      <c r="A13" s="3"/>
      <c r="B13" s="3" t="s">
        <v>28</v>
      </c>
      <c r="C13" s="3"/>
      <c r="D13" s="3"/>
      <c r="E13" s="3"/>
      <c r="F13" s="3"/>
    </row>
    <row r="14" spans="1:6" x14ac:dyDescent="0.25">
      <c r="A14" s="3"/>
      <c r="B14" s="3">
        <f>SUMPRODUCT(B10:C10,B12:C12)</f>
        <v>9.25</v>
      </c>
      <c r="C14" s="3"/>
      <c r="D14" s="3"/>
      <c r="E14" s="3"/>
      <c r="F14" s="3"/>
    </row>
    <row r="15" spans="1:6" x14ac:dyDescent="0.25">
      <c r="A15" s="3"/>
      <c r="B15" s="3"/>
      <c r="C15" s="3"/>
      <c r="D15" s="3"/>
      <c r="E15" s="3"/>
      <c r="F15" s="3"/>
    </row>
  </sheetData>
  <mergeCells count="1">
    <mergeCell ref="B1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4"/>
  <sheetViews>
    <sheetView workbookViewId="0">
      <selection activeCell="B14" sqref="B14"/>
    </sheetView>
  </sheetViews>
  <sheetFormatPr defaultRowHeight="15" x14ac:dyDescent="0.25"/>
  <cols>
    <col min="1" max="1" width="24.140625" bestFit="1" customWidth="1"/>
    <col min="2" max="2" width="11.28515625" customWidth="1"/>
    <col min="3" max="3" width="13" customWidth="1"/>
    <col min="4" max="4" width="15.28515625" customWidth="1"/>
    <col min="6" max="6" width="17.85546875" bestFit="1" customWidth="1"/>
  </cols>
  <sheetData>
    <row r="2" spans="1:6" x14ac:dyDescent="0.25">
      <c r="A2" s="13" t="s">
        <v>39</v>
      </c>
      <c r="B2" s="14" t="s">
        <v>38</v>
      </c>
      <c r="C2" s="14"/>
      <c r="F2" s="13" t="s">
        <v>33</v>
      </c>
    </row>
    <row r="3" spans="1:6" x14ac:dyDescent="0.25">
      <c r="A3" s="13"/>
      <c r="B3" s="15" t="s">
        <v>31</v>
      </c>
      <c r="C3" s="15" t="s">
        <v>32</v>
      </c>
      <c r="F3" s="13"/>
    </row>
    <row r="4" spans="1:6" x14ac:dyDescent="0.25">
      <c r="A4" s="15" t="s">
        <v>34</v>
      </c>
      <c r="B4" s="15">
        <v>4</v>
      </c>
      <c r="C4" s="15">
        <v>3</v>
      </c>
      <c r="D4" s="5">
        <f>SUMPRODUCT($B$10:$C$10,B4:C4)</f>
        <v>120</v>
      </c>
      <c r="F4" s="15">
        <v>120</v>
      </c>
    </row>
    <row r="5" spans="1:6" x14ac:dyDescent="0.25">
      <c r="A5" s="15" t="s">
        <v>35</v>
      </c>
      <c r="B5" s="15">
        <v>4</v>
      </c>
      <c r="C5" s="15">
        <v>10</v>
      </c>
      <c r="D5" s="5">
        <f t="shared" ref="D5:D6" si="0">SUMPRODUCT($B$10:$C$10,B5:C5)</f>
        <v>200</v>
      </c>
      <c r="F5" s="15">
        <v>200</v>
      </c>
    </row>
    <row r="6" spans="1:6" x14ac:dyDescent="0.25">
      <c r="A6" s="15" t="s">
        <v>36</v>
      </c>
      <c r="B6" s="15">
        <v>0</v>
      </c>
      <c r="C6" s="15">
        <v>15</v>
      </c>
      <c r="D6" s="18">
        <f t="shared" si="0"/>
        <v>171.42857142857144</v>
      </c>
      <c r="F6" s="16">
        <v>180</v>
      </c>
    </row>
    <row r="7" spans="1:6" x14ac:dyDescent="0.25">
      <c r="A7" s="15" t="s">
        <v>37</v>
      </c>
      <c r="B7" s="15">
        <v>5</v>
      </c>
      <c r="C7" s="15">
        <v>6</v>
      </c>
      <c r="F7" s="17"/>
    </row>
    <row r="9" spans="1:6" x14ac:dyDescent="0.25">
      <c r="B9" s="5" t="s">
        <v>40</v>
      </c>
      <c r="C9" s="5" t="s">
        <v>41</v>
      </c>
    </row>
    <row r="10" spans="1:6" x14ac:dyDescent="0.25">
      <c r="B10" s="18">
        <v>21.428571428571431</v>
      </c>
      <c r="C10" s="18">
        <v>11.428571428571429</v>
      </c>
    </row>
    <row r="11" spans="1:6" x14ac:dyDescent="0.25">
      <c r="C11" s="11"/>
    </row>
    <row r="12" spans="1:6" x14ac:dyDescent="0.25">
      <c r="A12" s="5" t="s">
        <v>27</v>
      </c>
      <c r="B12" s="6">
        <v>5</v>
      </c>
      <c r="C12" s="5">
        <v>6</v>
      </c>
    </row>
    <row r="13" spans="1:6" x14ac:dyDescent="0.25">
      <c r="B13" s="5" t="s">
        <v>42</v>
      </c>
    </row>
    <row r="14" spans="1:6" x14ac:dyDescent="0.25">
      <c r="B14" s="18">
        <f>SUMPRODUCT(B10:C10,B12:C12)</f>
        <v>175.71428571428572</v>
      </c>
    </row>
  </sheetData>
  <mergeCells count="3">
    <mergeCell ref="F2:F3"/>
    <mergeCell ref="A2:A3"/>
    <mergeCell ref="B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4"/>
  <sheetViews>
    <sheetView workbookViewId="0">
      <selection activeCell="N19" sqref="N19"/>
    </sheetView>
  </sheetViews>
  <sheetFormatPr defaultRowHeight="15" x14ac:dyDescent="0.25"/>
  <cols>
    <col min="1" max="1" width="24.140625" bestFit="1" customWidth="1"/>
    <col min="2" max="2" width="14.140625" customWidth="1"/>
    <col min="3" max="3" width="15" customWidth="1"/>
    <col min="4" max="4" width="12.5703125" customWidth="1"/>
    <col min="6" max="6" width="17.85546875" bestFit="1" customWidth="1"/>
  </cols>
  <sheetData>
    <row r="2" spans="1:6" x14ac:dyDescent="0.25">
      <c r="A2" s="13" t="s">
        <v>39</v>
      </c>
      <c r="B2" s="14" t="s">
        <v>38</v>
      </c>
      <c r="C2" s="14"/>
      <c r="F2" s="13" t="s">
        <v>33</v>
      </c>
    </row>
    <row r="3" spans="1:6" x14ac:dyDescent="0.25">
      <c r="A3" s="13"/>
      <c r="B3" s="15" t="s">
        <v>31</v>
      </c>
      <c r="C3" s="15" t="s">
        <v>32</v>
      </c>
      <c r="F3" s="13"/>
    </row>
    <row r="4" spans="1:6" x14ac:dyDescent="0.25">
      <c r="A4" s="15" t="s">
        <v>34</v>
      </c>
      <c r="B4" s="15">
        <v>4</v>
      </c>
      <c r="C4" s="15">
        <v>2</v>
      </c>
      <c r="D4" s="18">
        <f>SUMPRODUCT($B$10:$C$10,B4:C4)</f>
        <v>48</v>
      </c>
      <c r="F4" s="15">
        <v>48</v>
      </c>
    </row>
    <row r="5" spans="1:6" x14ac:dyDescent="0.25">
      <c r="A5" s="15" t="s">
        <v>35</v>
      </c>
      <c r="B5" s="15">
        <v>0</v>
      </c>
      <c r="C5" s="15">
        <v>3</v>
      </c>
      <c r="D5" s="18">
        <f t="shared" ref="D5:D6" si="0">SUMPRODUCT($B$10:$C$10,B5:C5)</f>
        <v>36</v>
      </c>
      <c r="F5" s="15">
        <v>36</v>
      </c>
    </row>
    <row r="6" spans="1:6" x14ac:dyDescent="0.25">
      <c r="A6" s="15" t="s">
        <v>36</v>
      </c>
      <c r="B6" s="15">
        <v>2</v>
      </c>
      <c r="C6" s="15">
        <v>2</v>
      </c>
      <c r="D6" s="18">
        <f t="shared" si="0"/>
        <v>36</v>
      </c>
      <c r="F6" s="16">
        <v>40</v>
      </c>
    </row>
    <row r="7" spans="1:6" x14ac:dyDescent="0.25">
      <c r="A7" s="15" t="s">
        <v>37</v>
      </c>
      <c r="B7" s="15">
        <v>15</v>
      </c>
      <c r="C7" s="15">
        <v>12</v>
      </c>
      <c r="F7" s="17"/>
    </row>
    <row r="9" spans="1:6" x14ac:dyDescent="0.25">
      <c r="B9" s="5" t="s">
        <v>40</v>
      </c>
      <c r="C9" s="5" t="s">
        <v>41</v>
      </c>
    </row>
    <row r="10" spans="1:6" x14ac:dyDescent="0.25">
      <c r="B10" s="18">
        <v>6</v>
      </c>
      <c r="C10" s="18">
        <v>12</v>
      </c>
    </row>
    <row r="11" spans="1:6" x14ac:dyDescent="0.25">
      <c r="C11" s="11"/>
    </row>
    <row r="12" spans="1:6" x14ac:dyDescent="0.25">
      <c r="A12" s="5" t="s">
        <v>27</v>
      </c>
      <c r="B12" s="6">
        <v>15</v>
      </c>
      <c r="C12" s="5">
        <v>12</v>
      </c>
    </row>
    <row r="13" spans="1:6" x14ac:dyDescent="0.25">
      <c r="B13" s="5" t="s">
        <v>42</v>
      </c>
    </row>
    <row r="14" spans="1:6" x14ac:dyDescent="0.25">
      <c r="B14" s="18">
        <f>SUMPRODUCT(B10:C10,B12:C12)</f>
        <v>234</v>
      </c>
    </row>
  </sheetData>
  <mergeCells count="3">
    <mergeCell ref="A2:A3"/>
    <mergeCell ref="B2:C2"/>
    <mergeCell ref="F2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5"/>
  <sheetViews>
    <sheetView tabSelected="1" workbookViewId="0">
      <selection activeCell="F11" sqref="F11"/>
    </sheetView>
  </sheetViews>
  <sheetFormatPr defaultRowHeight="15" x14ac:dyDescent="0.25"/>
  <cols>
    <col min="1" max="1" width="24.140625" bestFit="1" customWidth="1"/>
    <col min="2" max="2" width="14.28515625" customWidth="1"/>
    <col min="3" max="3" width="12.85546875" customWidth="1"/>
  </cols>
  <sheetData>
    <row r="2" spans="1:6" x14ac:dyDescent="0.25">
      <c r="A2" s="13" t="s">
        <v>39</v>
      </c>
      <c r="B2" s="14" t="s">
        <v>38</v>
      </c>
      <c r="C2" s="14"/>
      <c r="F2" s="13" t="s">
        <v>33</v>
      </c>
    </row>
    <row r="3" spans="1:6" x14ac:dyDescent="0.25">
      <c r="A3" s="13"/>
      <c r="B3" s="15" t="s">
        <v>31</v>
      </c>
      <c r="C3" s="15" t="s">
        <v>32</v>
      </c>
      <c r="F3" s="13"/>
    </row>
    <row r="4" spans="1:6" x14ac:dyDescent="0.25">
      <c r="A4" s="15" t="s">
        <v>34</v>
      </c>
      <c r="B4" s="15">
        <v>5</v>
      </c>
      <c r="C4" s="15">
        <v>7</v>
      </c>
      <c r="D4" s="18">
        <f>SUMPRODUCT($B$11:$C$11,B4:C4)</f>
        <v>54</v>
      </c>
      <c r="F4" s="15">
        <v>70</v>
      </c>
    </row>
    <row r="5" spans="1:6" x14ac:dyDescent="0.25">
      <c r="A5" s="15" t="s">
        <v>35</v>
      </c>
      <c r="B5" s="15">
        <v>2</v>
      </c>
      <c r="C5" s="15">
        <v>1</v>
      </c>
      <c r="D5" s="18">
        <f>SUMPRODUCT($B$11:$C$11,B5:C5)</f>
        <v>18</v>
      </c>
      <c r="F5" s="15">
        <v>18</v>
      </c>
    </row>
    <row r="6" spans="1:6" x14ac:dyDescent="0.25">
      <c r="A6" s="15" t="s">
        <v>36</v>
      </c>
      <c r="B6" s="15">
        <v>0</v>
      </c>
      <c r="C6" s="15">
        <v>2</v>
      </c>
      <c r="D6" s="18">
        <f>SUMPRODUCT($B$11:$C$11,B6:C6)</f>
        <v>4</v>
      </c>
      <c r="F6" s="16">
        <v>16</v>
      </c>
    </row>
    <row r="7" spans="1:6" x14ac:dyDescent="0.25">
      <c r="A7" s="19" t="s">
        <v>43</v>
      </c>
      <c r="B7" s="5">
        <v>1</v>
      </c>
      <c r="C7" s="5">
        <v>0</v>
      </c>
      <c r="D7" s="18">
        <f>SUMPRODUCT($B$11:$C$11,B7:C7)</f>
        <v>8</v>
      </c>
      <c r="F7" s="15">
        <v>8</v>
      </c>
    </row>
    <row r="8" spans="1:6" x14ac:dyDescent="0.25">
      <c r="A8" s="15" t="s">
        <v>37</v>
      </c>
      <c r="B8" s="15">
        <v>6</v>
      </c>
      <c r="C8" s="15">
        <v>2</v>
      </c>
    </row>
    <row r="10" spans="1:6" x14ac:dyDescent="0.25">
      <c r="B10" s="5" t="s">
        <v>40</v>
      </c>
      <c r="C10" s="5" t="s">
        <v>41</v>
      </c>
    </row>
    <row r="11" spans="1:6" x14ac:dyDescent="0.25">
      <c r="B11" s="18">
        <v>8</v>
      </c>
      <c r="C11" s="18">
        <v>2</v>
      </c>
    </row>
    <row r="12" spans="1:6" x14ac:dyDescent="0.25">
      <c r="C12" s="11"/>
    </row>
    <row r="13" spans="1:6" x14ac:dyDescent="0.25">
      <c r="A13" s="5" t="s">
        <v>27</v>
      </c>
      <c r="B13" s="6">
        <v>6</v>
      </c>
      <c r="C13" s="5">
        <v>2</v>
      </c>
    </row>
    <row r="14" spans="1:6" x14ac:dyDescent="0.25">
      <c r="B14" s="5" t="s">
        <v>42</v>
      </c>
    </row>
    <row r="15" spans="1:6" x14ac:dyDescent="0.25">
      <c r="B15" s="18">
        <f>SUMPRODUCT(B11:C11,B13:C13)</f>
        <v>52</v>
      </c>
    </row>
  </sheetData>
  <mergeCells count="3">
    <mergeCell ref="A2:A3"/>
    <mergeCell ref="B2:C2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Лист1</vt:lpstr>
      <vt:lpstr>Лист2</vt:lpstr>
      <vt:lpstr>Лист3</vt:lpstr>
      <vt:lpstr>Лист4</vt:lpstr>
      <vt:lpstr>Лист5</vt:lpstr>
    </vt:vector>
  </TitlesOfParts>
  <Company>Академия ТОП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2026-04-17T07:04:27Z</dcterms:created>
  <dcterms:modified xsi:type="dcterms:W3CDTF">2026-04-17T09:55:17Z</dcterms:modified>
</cp:coreProperties>
</file>