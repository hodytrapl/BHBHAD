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Лист6" sheetId="6" r:id="rId1"/>
  </sheets>
  <definedNames>
    <definedName name="solver_adj" localSheetId="0" hidden="1">Лист6!$B$10:$E$10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Лист6!$B$10:$E$10</definedName>
    <definedName name="solver_lhs2" localSheetId="0" hidden="1">Лист6!$F$4:$F$6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Лист6!$B$14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hs1" localSheetId="0" hidden="1">0</definedName>
    <definedName name="solver_rhs2" localSheetId="0" hidden="1">Лист6!$H$4:$H$6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45621" iterate="1"/>
</workbook>
</file>

<file path=xl/calcChain.xml><?xml version="1.0" encoding="utf-8"?>
<calcChain xmlns="http://schemas.openxmlformats.org/spreadsheetml/2006/main">
  <c r="F6" i="6" l="1"/>
  <c r="B14" i="6"/>
  <c r="F5" i="6"/>
  <c r="F4" i="6"/>
  <c r="C12" i="6"/>
  <c r="D12" i="6"/>
  <c r="E12" i="6"/>
  <c r="B12" i="6"/>
</calcChain>
</file>

<file path=xl/sharedStrings.xml><?xml version="1.0" encoding="utf-8"?>
<sst xmlns="http://schemas.openxmlformats.org/spreadsheetml/2006/main" count="17" uniqueCount="15">
  <si>
    <t>коеф</t>
  </si>
  <si>
    <t>B1</t>
  </si>
  <si>
    <t>B2</t>
  </si>
  <si>
    <t>ЗАПАСЫ СЫРЬЯ КГ</t>
  </si>
  <si>
    <t>А1</t>
  </si>
  <si>
    <t>А2</t>
  </si>
  <si>
    <t>А3</t>
  </si>
  <si>
    <t>расход сырь на изг изд кг</t>
  </si>
  <si>
    <t>х1</t>
  </si>
  <si>
    <t>х2</t>
  </si>
  <si>
    <t>макс</t>
  </si>
  <si>
    <t>поставщик объем поставок</t>
  </si>
  <si>
    <t>объем поставок, т</t>
  </si>
  <si>
    <t>х3</t>
  </si>
  <si>
    <t>х4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</si>
</sst>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/>
    <xf numFmtId="0" fontId="0" fillId="0" borderId="4" xfId="0" applyBorder="1" applyAlignment="1">
      <alignment horizontal="center" vertical="center"/>
    </xf>
    <xf numFmtId="164" fontId="0" fillId="0" borderId="5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4"/>
  <sheetViews>
    <sheetView tabSelected="1" workbookViewId="0">
      <selection activeCell="E10" sqref="E10"/>
    </sheetView>
  </sheetViews>
  <sheetFormatPr defaultRowHeight="15" x14ac:dyDescent="0.25"/>
  <cols>
    <col min="1" max="1" width="20.28515625" customWidth="1"/>
  </cols>
  <sheetData>
    <row r="2" spans="1:8" x14ac:dyDescent="0.25">
      <c r="A2" s="8" t="s">
        <v>11</v>
      </c>
      <c r="B2" s="9" t="s">
        <v>7</v>
      </c>
      <c r="C2" s="9"/>
      <c r="H2" s="8" t="s">
        <v>3</v>
      </c>
    </row>
    <row r="3" spans="1:8" x14ac:dyDescent="0.25">
      <c r="A3" s="8"/>
      <c r="B3" s="4" t="s">
        <v>1</v>
      </c>
      <c r="C3" s="4" t="s">
        <v>2</v>
      </c>
      <c r="D3" s="4" t="s">
        <v>1</v>
      </c>
      <c r="E3" s="4" t="s">
        <v>2</v>
      </c>
      <c r="H3" s="8"/>
    </row>
    <row r="4" spans="1:8" x14ac:dyDescent="0.25">
      <c r="A4" s="4" t="s">
        <v>4</v>
      </c>
      <c r="B4" s="4">
        <v>7</v>
      </c>
      <c r="C4" s="4">
        <v>1</v>
      </c>
      <c r="D4" s="4">
        <v>4</v>
      </c>
      <c r="E4" s="4">
        <v>5</v>
      </c>
      <c r="F4" s="7">
        <f>SUMPRODUCT($B$10:$E$10,B4:E4)</f>
        <v>52.428571428571423</v>
      </c>
      <c r="H4" s="4">
        <v>85</v>
      </c>
    </row>
    <row r="5" spans="1:8" x14ac:dyDescent="0.25">
      <c r="A5" s="4" t="s">
        <v>5</v>
      </c>
      <c r="B5" s="4">
        <v>13</v>
      </c>
      <c r="C5" s="4">
        <v>4</v>
      </c>
      <c r="D5" s="4">
        <v>7</v>
      </c>
      <c r="E5" s="4">
        <v>6</v>
      </c>
      <c r="F5" s="7">
        <f t="shared" ref="F5:F7" si="0">SUMPRODUCT($B$10:$E$10,B5:E5)</f>
        <v>111.99999999999999</v>
      </c>
      <c r="H5" s="4">
        <v>112</v>
      </c>
    </row>
    <row r="6" spans="1:8" x14ac:dyDescent="0.25">
      <c r="A6" s="4" t="s">
        <v>6</v>
      </c>
      <c r="B6" s="4">
        <v>3</v>
      </c>
      <c r="C6" s="4">
        <v>8</v>
      </c>
      <c r="D6" s="4">
        <v>0</v>
      </c>
      <c r="E6" s="4">
        <v>18</v>
      </c>
      <c r="F6" s="10">
        <f>SUMPRODUCT($B$10:$E$10,B6:E6)</f>
        <v>72</v>
      </c>
      <c r="H6" s="5">
        <v>72</v>
      </c>
    </row>
    <row r="7" spans="1:8" x14ac:dyDescent="0.25">
      <c r="A7" s="4" t="s">
        <v>12</v>
      </c>
      <c r="B7" s="4">
        <v>75</v>
      </c>
      <c r="C7" s="4">
        <v>125</v>
      </c>
      <c r="D7" s="4">
        <v>34</v>
      </c>
      <c r="E7" s="11">
        <v>35</v>
      </c>
      <c r="F7" s="12"/>
      <c r="H7" s="6"/>
    </row>
    <row r="9" spans="1:8" x14ac:dyDescent="0.25">
      <c r="B9" s="1" t="s">
        <v>8</v>
      </c>
      <c r="C9" s="1" t="s">
        <v>9</v>
      </c>
      <c r="D9" s="1" t="s">
        <v>13</v>
      </c>
      <c r="E9" s="1" t="s">
        <v>14</v>
      </c>
    </row>
    <row r="10" spans="1:8" x14ac:dyDescent="0.25">
      <c r="B10" s="7">
        <v>0</v>
      </c>
      <c r="C10" s="7">
        <v>9</v>
      </c>
      <c r="D10" s="7">
        <v>10.857142857142856</v>
      </c>
      <c r="E10" s="7">
        <v>0</v>
      </c>
    </row>
    <row r="11" spans="1:8" x14ac:dyDescent="0.25">
      <c r="C11" s="3"/>
    </row>
    <row r="12" spans="1:8" x14ac:dyDescent="0.25">
      <c r="A12" s="1" t="s">
        <v>0</v>
      </c>
      <c r="B12" s="2">
        <f>B7</f>
        <v>75</v>
      </c>
      <c r="C12" s="1">
        <f t="shared" ref="C12:E12" si="1">C7</f>
        <v>125</v>
      </c>
      <c r="D12" s="1">
        <f t="shared" si="1"/>
        <v>34</v>
      </c>
      <c r="E12" s="1">
        <f t="shared" si="1"/>
        <v>35</v>
      </c>
    </row>
    <row r="13" spans="1:8" x14ac:dyDescent="0.25">
      <c r="B13" s="1" t="s">
        <v>10</v>
      </c>
    </row>
    <row r="14" spans="1:8" x14ac:dyDescent="0.25">
      <c r="B14" s="7">
        <f>SUMPRODUCT(B10:E10,B12:E12)</f>
        <v>1494.1428571428571</v>
      </c>
    </row>
  </sheetData>
  <mergeCells count="3">
    <mergeCell ref="A2:A3"/>
    <mergeCell ref="B2:C2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Лист6</vt:lpstr>
    </vt:vector>
  </TitlesOfParts>
  <Company>Академия ТОП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2026-04-17T07:04:27Z</dcterms:created>
  <dcterms:modified xsi:type="dcterms:W3CDTF">2026-04-20T10:43:34Z</dcterms:modified>
</cp:coreProperties>
</file>