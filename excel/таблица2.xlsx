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4385" activeTab="4"/>
  </bookViews>
  <sheets>
    <sheet name="Лист1" sheetId="1" r:id="rId1"/>
    <sheet name="Лист2" sheetId="2" r:id="rId2"/>
    <sheet name="Лист3" sheetId="3" r:id="rId3"/>
    <sheet name="Лист4" sheetId="4" r:id="rId4"/>
    <sheet name="Лист5" sheetId="5" r:id="rId5"/>
  </sheets>
  <definedNames>
    <definedName name="solver_adj" localSheetId="0" hidden="1">Лист1!$B$9:$C$9</definedName>
    <definedName name="solver_adj" localSheetId="1" hidden="1">Лист2!$B$9:$C$9</definedName>
    <definedName name="solver_adj" localSheetId="2" hidden="1">Лист3!$B$9:$C$9</definedName>
    <definedName name="solver_adj" localSheetId="3" hidden="1">Лист4!$B$9:$C$9</definedName>
    <definedName name="solver_adj" localSheetId="4" hidden="1">Лист5!$B$10:$C$10</definedName>
    <definedName name="solver_cvg" localSheetId="0" hidden="1">0.0001</definedName>
    <definedName name="solver_cvg" localSheetId="1" hidden="1">0.0001</definedName>
    <definedName name="solver_cvg" localSheetId="2" hidden="1">0.0001</definedName>
    <definedName name="solver_cvg" localSheetId="3" hidden="1">0.0001</definedName>
    <definedName name="solver_cvg" localSheetId="4" hidden="1">0.0001</definedName>
    <definedName name="solver_drv" localSheetId="0" hidden="1">1</definedName>
    <definedName name="solver_drv" localSheetId="1" hidden="1">1</definedName>
    <definedName name="solver_drv" localSheetId="2" hidden="1">2</definedName>
    <definedName name="solver_drv" localSheetId="3" hidden="1">1</definedName>
    <definedName name="solver_drv" localSheetId="4" hidden="1">2</definedName>
    <definedName name="solver_eng" localSheetId="0" hidden="1">2</definedName>
    <definedName name="solver_eng" localSheetId="1" hidden="1">2</definedName>
    <definedName name="solver_eng" localSheetId="2" hidden="1">2</definedName>
    <definedName name="solver_eng" localSheetId="3" hidden="1">2</definedName>
    <definedName name="solver_eng" localSheetId="4" hidden="1">2</definedName>
    <definedName name="solver_est" localSheetId="0" hidden="1">1</definedName>
    <definedName name="solver_est" localSheetId="1" hidden="1">1</definedName>
    <definedName name="solver_est" localSheetId="2" hidden="1">1</definedName>
    <definedName name="solver_est" localSheetId="3" hidden="1">1</definedName>
    <definedName name="solver_est" localSheetId="4" hidden="1">1</definedName>
    <definedName name="solver_itr" localSheetId="0" hidden="1">2147483647</definedName>
    <definedName name="solver_itr" localSheetId="1" hidden="1">2147483647</definedName>
    <definedName name="solver_itr" localSheetId="2" hidden="1">2147483647</definedName>
    <definedName name="solver_itr" localSheetId="3" hidden="1">2147483647</definedName>
    <definedName name="solver_itr" localSheetId="4" hidden="1">2147483647</definedName>
    <definedName name="solver_lhs1" localSheetId="0" hidden="1">Лист1!$B$9:$C$9</definedName>
    <definedName name="solver_lhs1" localSheetId="1" hidden="1">Лист2!$B$9:$C$9</definedName>
    <definedName name="solver_lhs1" localSheetId="2" hidden="1">Лист3!$B$9:$C$9</definedName>
    <definedName name="solver_lhs1" localSheetId="3" hidden="1">Лист4!$B$9:$C$9</definedName>
    <definedName name="solver_lhs1" localSheetId="4" hidden="1">Лист5!$B$10:$C$10</definedName>
    <definedName name="solver_lhs2" localSheetId="0" hidden="1">Лист1!$E$3:$E$5</definedName>
    <definedName name="solver_lhs2" localSheetId="1" hidden="1">Лист2!$E$3:$E$5</definedName>
    <definedName name="solver_lhs2" localSheetId="2" hidden="1">Лист3!$D$3:$D$5</definedName>
    <definedName name="solver_lhs2" localSheetId="3" hidden="1">Лист4!$D$3:$D$5</definedName>
    <definedName name="solver_lhs2" localSheetId="4" hidden="1">Лист5!$E$3:$E$6</definedName>
    <definedName name="solver_mip" localSheetId="0" hidden="1">2147483647</definedName>
    <definedName name="solver_mip" localSheetId="1" hidden="1">2147483647</definedName>
    <definedName name="solver_mip" localSheetId="2" hidden="1">2147483647</definedName>
    <definedName name="solver_mip" localSheetId="3" hidden="1">2147483647</definedName>
    <definedName name="solver_mip" localSheetId="4" hidden="1">2147483647</definedName>
    <definedName name="solver_mni" localSheetId="0" hidden="1">30</definedName>
    <definedName name="solver_mni" localSheetId="1" hidden="1">30</definedName>
    <definedName name="solver_mni" localSheetId="2" hidden="1">30</definedName>
    <definedName name="solver_mni" localSheetId="3" hidden="1">30</definedName>
    <definedName name="solver_mni" localSheetId="4" hidden="1">30</definedName>
    <definedName name="solver_mrt" localSheetId="0" hidden="1">0.075</definedName>
    <definedName name="solver_mrt" localSheetId="1" hidden="1">0.075</definedName>
    <definedName name="solver_mrt" localSheetId="2" hidden="1">0.075</definedName>
    <definedName name="solver_mrt" localSheetId="3" hidden="1">0.075</definedName>
    <definedName name="solver_mrt" localSheetId="4" hidden="1">0.075</definedName>
    <definedName name="solver_msl" localSheetId="0" hidden="1">2</definedName>
    <definedName name="solver_msl" localSheetId="1" hidden="1">2</definedName>
    <definedName name="solver_msl" localSheetId="2" hidden="1">2</definedName>
    <definedName name="solver_msl" localSheetId="3" hidden="1">2</definedName>
    <definedName name="solver_msl" localSheetId="4" hidden="1">2</definedName>
    <definedName name="solver_neg" localSheetId="0" hidden="1">1</definedName>
    <definedName name="solver_neg" localSheetId="1" hidden="1">1</definedName>
    <definedName name="solver_neg" localSheetId="2" hidden="1">1</definedName>
    <definedName name="solver_neg" localSheetId="3" hidden="1">1</definedName>
    <definedName name="solver_neg" localSheetId="4" hidden="1">1</definedName>
    <definedName name="solver_nod" localSheetId="0" hidden="1">2147483647</definedName>
    <definedName name="solver_nod" localSheetId="1" hidden="1">2147483647</definedName>
    <definedName name="solver_nod" localSheetId="2" hidden="1">2147483647</definedName>
    <definedName name="solver_nod" localSheetId="3" hidden="1">2147483647</definedName>
    <definedName name="solver_nod" localSheetId="4" hidden="1">2147483647</definedName>
    <definedName name="solver_num" localSheetId="0" hidden="1">2</definedName>
    <definedName name="solver_num" localSheetId="1" hidden="1">2</definedName>
    <definedName name="solver_num" localSheetId="2" hidden="1">2</definedName>
    <definedName name="solver_num" localSheetId="3" hidden="1">2</definedName>
    <definedName name="solver_num" localSheetId="4" hidden="1">2</definedName>
    <definedName name="solver_nwt" localSheetId="0" hidden="1">1</definedName>
    <definedName name="solver_nwt" localSheetId="1" hidden="1">1</definedName>
    <definedName name="solver_nwt" localSheetId="2" hidden="1">1</definedName>
    <definedName name="solver_nwt" localSheetId="3" hidden="1">1</definedName>
    <definedName name="solver_nwt" localSheetId="4" hidden="1">1</definedName>
    <definedName name="solver_opt" localSheetId="0" hidden="1">Лист1!$B$15</definedName>
    <definedName name="solver_opt" localSheetId="1" hidden="1">Лист2!$B$15</definedName>
    <definedName name="solver_opt" localSheetId="2" hidden="1">Лист3!$B$15</definedName>
    <definedName name="solver_opt" localSheetId="3" hidden="1">Лист4!$B$15</definedName>
    <definedName name="solver_opt" localSheetId="4" hidden="1">Лист5!$B$16</definedName>
    <definedName name="solver_pre" localSheetId="0" hidden="1">0.000001</definedName>
    <definedName name="solver_pre" localSheetId="1" hidden="1">0.000001</definedName>
    <definedName name="solver_pre" localSheetId="2" hidden="1">0.000001</definedName>
    <definedName name="solver_pre" localSheetId="3" hidden="1">0.000001</definedName>
    <definedName name="solver_pre" localSheetId="4" hidden="1">0.000001</definedName>
    <definedName name="solver_rbv" localSheetId="0" hidden="1">1</definedName>
    <definedName name="solver_rbv" localSheetId="1" hidden="1">1</definedName>
    <definedName name="solver_rbv" localSheetId="2" hidden="1">2</definedName>
    <definedName name="solver_rbv" localSheetId="3" hidden="1">1</definedName>
    <definedName name="solver_rbv" localSheetId="4" hidden="1">2</definedName>
    <definedName name="solver_rel1" localSheetId="0" hidden="1">3</definedName>
    <definedName name="solver_rel1" localSheetId="1" hidden="1">3</definedName>
    <definedName name="solver_rel1" localSheetId="2" hidden="1">3</definedName>
    <definedName name="solver_rel1" localSheetId="3" hidden="1">3</definedName>
    <definedName name="solver_rel1" localSheetId="4" hidden="1">3</definedName>
    <definedName name="solver_rel2" localSheetId="0" hidden="1">1</definedName>
    <definedName name="solver_rel2" localSheetId="1" hidden="1">1</definedName>
    <definedName name="solver_rel2" localSheetId="2" hidden="1">3</definedName>
    <definedName name="solver_rel2" localSheetId="3" hidden="1">3</definedName>
    <definedName name="solver_rel2" localSheetId="4" hidden="1">3</definedName>
    <definedName name="solver_rhs1" localSheetId="0" hidden="1">0</definedName>
    <definedName name="solver_rhs1" localSheetId="1" hidden="1">0</definedName>
    <definedName name="solver_rhs1" localSheetId="2" hidden="1">0</definedName>
    <definedName name="solver_rhs1" localSheetId="3" hidden="1">0</definedName>
    <definedName name="solver_rhs1" localSheetId="4" hidden="1">0</definedName>
    <definedName name="solver_rhs2" localSheetId="0" hidden="1">Лист1!$D$3:$D$5</definedName>
    <definedName name="solver_rhs2" localSheetId="1" hidden="1">Лист2!$D$3:$D$5</definedName>
    <definedName name="solver_rhs2" localSheetId="2" hidden="1">Лист3!$E$3:$E$5</definedName>
    <definedName name="solver_rhs2" localSheetId="3" hidden="1">Лист4!$E$3:$E$5</definedName>
    <definedName name="solver_rhs2" localSheetId="4" hidden="1">Лист5!$D$3:$D$6</definedName>
    <definedName name="solver_rlx" localSheetId="0" hidden="1">2</definedName>
    <definedName name="solver_rlx" localSheetId="1" hidden="1">2</definedName>
    <definedName name="solver_rlx" localSheetId="2" hidden="1">2</definedName>
    <definedName name="solver_rlx" localSheetId="3" hidden="1">2</definedName>
    <definedName name="solver_rlx" localSheetId="4" hidden="1">2</definedName>
    <definedName name="solver_rsd" localSheetId="0" hidden="1">0</definedName>
    <definedName name="solver_rsd" localSheetId="1" hidden="1">0</definedName>
    <definedName name="solver_rsd" localSheetId="2" hidden="1">0</definedName>
    <definedName name="solver_rsd" localSheetId="3" hidden="1">0</definedName>
    <definedName name="solver_rsd" localSheetId="4" hidden="1">0</definedName>
    <definedName name="solver_scl" localSheetId="0" hidden="1">1</definedName>
    <definedName name="solver_scl" localSheetId="1" hidden="1">1</definedName>
    <definedName name="solver_scl" localSheetId="2" hidden="1">2</definedName>
    <definedName name="solver_scl" localSheetId="3" hidden="1">1</definedName>
    <definedName name="solver_scl" localSheetId="4" hidden="1">2</definedName>
    <definedName name="solver_sho" localSheetId="0" hidden="1">2</definedName>
    <definedName name="solver_sho" localSheetId="1" hidden="1">2</definedName>
    <definedName name="solver_sho" localSheetId="2" hidden="1">2</definedName>
    <definedName name="solver_sho" localSheetId="3" hidden="1">2</definedName>
    <definedName name="solver_sho" localSheetId="4" hidden="1">2</definedName>
    <definedName name="solver_ssz" localSheetId="0" hidden="1">100</definedName>
    <definedName name="solver_ssz" localSheetId="1" hidden="1">100</definedName>
    <definedName name="solver_ssz" localSheetId="2" hidden="1">100</definedName>
    <definedName name="solver_ssz" localSheetId="3" hidden="1">100</definedName>
    <definedName name="solver_ssz" localSheetId="4" hidden="1">100</definedName>
    <definedName name="solver_tim" localSheetId="0" hidden="1">2147483647</definedName>
    <definedName name="solver_tim" localSheetId="1" hidden="1">2147483647</definedName>
    <definedName name="solver_tim" localSheetId="2" hidden="1">2147483647</definedName>
    <definedName name="solver_tim" localSheetId="3" hidden="1">2147483647</definedName>
    <definedName name="solver_tim" localSheetId="4" hidden="1">2147483647</definedName>
    <definedName name="solver_tol" localSheetId="0" hidden="1">0.01</definedName>
    <definedName name="solver_tol" localSheetId="1" hidden="1">0.01</definedName>
    <definedName name="solver_tol" localSheetId="2" hidden="1">0.01</definedName>
    <definedName name="solver_tol" localSheetId="3" hidden="1">0.01</definedName>
    <definedName name="solver_tol" localSheetId="4" hidden="1">0.01</definedName>
    <definedName name="solver_typ" localSheetId="0" hidden="1">1</definedName>
    <definedName name="solver_typ" localSheetId="1" hidden="1">1</definedName>
    <definedName name="solver_typ" localSheetId="2" hidden="1">1</definedName>
    <definedName name="solver_typ" localSheetId="3" hidden="1">1</definedName>
    <definedName name="solver_typ" localSheetId="4" hidden="1">2</definedName>
    <definedName name="solver_val" localSheetId="0" hidden="1">0</definedName>
    <definedName name="solver_val" localSheetId="1" hidden="1">0</definedName>
    <definedName name="solver_val" localSheetId="2" hidden="1">0</definedName>
    <definedName name="solver_val" localSheetId="3" hidden="1">0</definedName>
    <definedName name="solver_val" localSheetId="4" hidden="1">0</definedName>
    <definedName name="solver_ver" localSheetId="0" hidden="1">3</definedName>
    <definedName name="solver_ver" localSheetId="1" hidden="1">3</definedName>
    <definedName name="solver_ver" localSheetId="2" hidden="1">3</definedName>
    <definedName name="solver_ver" localSheetId="3" hidden="1">3</definedName>
    <definedName name="solver_ver" localSheetId="4" hidden="1">3</definedName>
  </definedNames>
  <calcPr calcId="145621"/>
</workbook>
</file>

<file path=xl/calcChain.xml><?xml version="1.0" encoding="utf-8"?>
<calcChain xmlns="http://schemas.openxmlformats.org/spreadsheetml/2006/main">
  <c r="E6" i="5" l="1"/>
  <c r="B15" i="5"/>
  <c r="C12" i="5"/>
  <c r="B12" i="5"/>
  <c r="B16" i="5" s="1"/>
  <c r="E5" i="5"/>
  <c r="E4" i="5"/>
  <c r="E3" i="5"/>
  <c r="B15" i="4"/>
  <c r="B14" i="4"/>
  <c r="C11" i="4"/>
  <c r="B11" i="4"/>
  <c r="E5" i="4"/>
  <c r="E4" i="4"/>
  <c r="E3" i="4"/>
  <c r="H14" i="3"/>
  <c r="I11" i="3"/>
  <c r="H11" i="3"/>
  <c r="H15" i="3" s="1"/>
  <c r="K5" i="3"/>
  <c r="K4" i="3"/>
  <c r="K3" i="3"/>
  <c r="B15" i="3"/>
  <c r="B14" i="3"/>
  <c r="C11" i="3"/>
  <c r="B11" i="3"/>
  <c r="E5" i="3"/>
  <c r="E4" i="3"/>
  <c r="E3" i="3"/>
  <c r="B15" i="2"/>
  <c r="H14" i="2"/>
  <c r="I11" i="2"/>
  <c r="H11" i="2"/>
  <c r="H15" i="2" s="1"/>
  <c r="K5" i="2"/>
  <c r="K4" i="2"/>
  <c r="K3" i="2"/>
  <c r="B14" i="2"/>
  <c r="C11" i="2"/>
  <c r="B11" i="2"/>
  <c r="E5" i="2"/>
  <c r="E4" i="2"/>
  <c r="E3" i="2"/>
  <c r="H14" i="1"/>
  <c r="I11" i="1"/>
  <c r="H11" i="1"/>
  <c r="H15" i="1" s="1"/>
  <c r="K5" i="1"/>
  <c r="K4" i="1"/>
  <c r="K3" i="1"/>
  <c r="E4" i="1"/>
  <c r="E3" i="1"/>
  <c r="E5" i="1"/>
  <c r="B15" i="1"/>
  <c r="B14" i="1" l="1"/>
  <c r="C11" i="1"/>
  <c r="B11" i="1"/>
</calcChain>
</file>

<file path=xl/sharedStrings.xml><?xml version="1.0" encoding="utf-8"?>
<sst xmlns="http://schemas.openxmlformats.org/spreadsheetml/2006/main" count="113" uniqueCount="23">
  <si>
    <t>Станок, прибыль</t>
  </si>
  <si>
    <t>A1</t>
  </si>
  <si>
    <t>A2</t>
  </si>
  <si>
    <t>A3</t>
  </si>
  <si>
    <t>ПРИБЫЛЬ В  час р</t>
  </si>
  <si>
    <t>b1</t>
  </si>
  <si>
    <t>b2</t>
  </si>
  <si>
    <t>трудоемкость обрпаботки изделия ст ч</t>
  </si>
  <si>
    <t>коеф</t>
  </si>
  <si>
    <t>x1</t>
  </si>
  <si>
    <t>x2</t>
  </si>
  <si>
    <t>фонд времени раб стан ст ч</t>
  </si>
  <si>
    <t>формула</t>
  </si>
  <si>
    <t>ЦИФАРКИ</t>
  </si>
  <si>
    <t>Свитер</t>
  </si>
  <si>
    <t>Кофточка</t>
  </si>
  <si>
    <t>Шерсть</t>
  </si>
  <si>
    <t>Силон</t>
  </si>
  <si>
    <t>Нитрон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</si>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</sst>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1" fillId="2" borderId="1" xfId="1" applyBorder="1" applyAlignment="1">
      <alignment vertical="center" wrapText="1"/>
    </xf>
    <xf numFmtId="0" fontId="0" fillId="0" borderId="1" xfId="0" applyBorder="1"/>
    <xf numFmtId="1" fontId="0" fillId="0" borderId="1" xfId="0" applyNumberFormat="1" applyBorder="1" applyAlignment="1">
      <alignment vertical="center" wrapText="1"/>
    </xf>
    <xf numFmtId="1" fontId="0" fillId="0" borderId="1" xfId="0" applyNumberFormat="1" applyBorder="1"/>
    <xf numFmtId="0" fontId="0" fillId="0" borderId="2" xfId="0" applyFill="1" applyBorder="1" applyAlignment="1">
      <alignment vertical="center" wrapText="1"/>
    </xf>
    <xf numFmtId="0" fontId="0" fillId="0" borderId="2" xfId="0" applyFill="1" applyBorder="1" applyAlignment="1">
      <alignment horizontal="center" vertical="center" wrapText="1"/>
    </xf>
  </cellXfs>
  <cellStyles count="2">
    <cellStyle name="Обычный" xfId="0" builtinId="0"/>
    <cellStyle name="Хороший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3"/>
  <sheetViews>
    <sheetView workbookViewId="0">
      <selection activeCell="E15" sqref="A1:E15"/>
    </sheetView>
  </sheetViews>
  <sheetFormatPr defaultRowHeight="15" x14ac:dyDescent="0.25"/>
  <cols>
    <col min="1" max="1" width="19.85546875" customWidth="1"/>
    <col min="2" max="2" width="11.85546875" customWidth="1"/>
    <col min="3" max="3" width="11" customWidth="1"/>
    <col min="4" max="4" width="21.7109375" customWidth="1"/>
    <col min="7" max="7" width="18.7109375" customWidth="1"/>
    <col min="8" max="8" width="12.140625" customWidth="1"/>
    <col min="9" max="9" width="11.85546875" customWidth="1"/>
    <col min="10" max="10" width="15.28515625" customWidth="1"/>
  </cols>
  <sheetData>
    <row r="1" spans="1:21" ht="28.5" customHeight="1" x14ac:dyDescent="0.25">
      <c r="A1" s="4" t="s">
        <v>0</v>
      </c>
      <c r="B1" s="4" t="s">
        <v>7</v>
      </c>
      <c r="C1" s="4"/>
      <c r="D1" s="4" t="s">
        <v>11</v>
      </c>
      <c r="E1" s="4" t="s">
        <v>13</v>
      </c>
      <c r="F1" s="1"/>
      <c r="G1" s="4" t="s">
        <v>0</v>
      </c>
      <c r="H1" s="4" t="s">
        <v>7</v>
      </c>
      <c r="I1" s="4"/>
      <c r="J1" s="4" t="s">
        <v>11</v>
      </c>
      <c r="K1" s="4" t="s">
        <v>13</v>
      </c>
      <c r="L1" s="1"/>
      <c r="M1" s="1"/>
      <c r="N1" s="1"/>
      <c r="O1" s="1"/>
      <c r="P1" s="1"/>
      <c r="Q1" s="1"/>
      <c r="R1" s="1"/>
      <c r="S1" s="2"/>
      <c r="T1" s="2"/>
      <c r="U1" s="2"/>
    </row>
    <row r="2" spans="1:21" x14ac:dyDescent="0.25">
      <c r="A2" s="4"/>
      <c r="B2" s="5" t="s">
        <v>5</v>
      </c>
      <c r="C2" s="5" t="s">
        <v>6</v>
      </c>
      <c r="D2" s="4"/>
      <c r="E2" s="4"/>
      <c r="F2" s="1"/>
      <c r="G2" s="4"/>
      <c r="H2" s="5" t="s">
        <v>5</v>
      </c>
      <c r="I2" s="5" t="s">
        <v>6</v>
      </c>
      <c r="J2" s="4"/>
      <c r="K2" s="4"/>
      <c r="L2" s="1"/>
      <c r="M2" s="1"/>
      <c r="N2" s="1"/>
      <c r="O2" s="1"/>
      <c r="P2" s="1"/>
      <c r="Q2" s="1"/>
      <c r="R2" s="1"/>
      <c r="S2" s="2"/>
      <c r="T2" s="2"/>
      <c r="U2" s="2"/>
    </row>
    <row r="3" spans="1:21" x14ac:dyDescent="0.25">
      <c r="A3" s="6" t="s">
        <v>1</v>
      </c>
      <c r="B3" s="5">
        <v>3</v>
      </c>
      <c r="C3" s="5">
        <v>8</v>
      </c>
      <c r="D3" s="5">
        <v>24</v>
      </c>
      <c r="E3" s="6">
        <f>SUMPRODUCT($B$9:$C$9,B3:C3)</f>
        <v>20.999999999999996</v>
      </c>
      <c r="F3" s="1"/>
      <c r="G3" s="6" t="s">
        <v>1</v>
      </c>
      <c r="H3" s="5">
        <v>3</v>
      </c>
      <c r="I3" s="5">
        <v>8</v>
      </c>
      <c r="J3" s="5">
        <v>24</v>
      </c>
      <c r="K3" s="6">
        <f>SUMPRODUCT($B$9:$C$9,H3:I3)</f>
        <v>20.999999999999996</v>
      </c>
      <c r="L3" s="1"/>
      <c r="M3" s="1"/>
      <c r="N3" s="1"/>
      <c r="O3" s="1"/>
      <c r="P3" s="1"/>
      <c r="Q3" s="1"/>
      <c r="R3" s="1"/>
      <c r="S3" s="2"/>
      <c r="T3" s="2"/>
      <c r="U3" s="2"/>
    </row>
    <row r="4" spans="1:21" x14ac:dyDescent="0.25">
      <c r="A4" s="6" t="s">
        <v>2</v>
      </c>
      <c r="B4" s="5">
        <v>2</v>
      </c>
      <c r="C4" s="5">
        <v>7</v>
      </c>
      <c r="D4" s="5">
        <v>14</v>
      </c>
      <c r="E4" s="6">
        <f>SUMPRODUCT($B$9:$C$9,B4:C4)</f>
        <v>13.999999999999998</v>
      </c>
      <c r="F4" s="1"/>
      <c r="G4" s="6" t="s">
        <v>2</v>
      </c>
      <c r="H4" s="5">
        <v>2</v>
      </c>
      <c r="I4" s="5">
        <v>7</v>
      </c>
      <c r="J4" s="5">
        <v>14</v>
      </c>
      <c r="K4" s="6">
        <f>SUMPRODUCT($B$9:$C$9,H4:I4)</f>
        <v>13.999999999999998</v>
      </c>
      <c r="L4" s="1"/>
      <c r="M4" s="1"/>
      <c r="N4" s="1"/>
      <c r="O4" s="1"/>
      <c r="P4" s="1"/>
      <c r="Q4" s="1"/>
      <c r="R4" s="1"/>
      <c r="S4" s="2"/>
      <c r="T4" s="2"/>
      <c r="U4" s="2"/>
    </row>
    <row r="5" spans="1:21" x14ac:dyDescent="0.25">
      <c r="A5" s="6" t="s">
        <v>3</v>
      </c>
      <c r="B5" s="5">
        <v>0</v>
      </c>
      <c r="C5" s="5">
        <v>12</v>
      </c>
      <c r="D5" s="5">
        <v>24</v>
      </c>
      <c r="E5" s="6">
        <f t="shared" ref="E4:E5" si="0">SUMPRODUCT($B$9:$C$9,B5:C5)</f>
        <v>0</v>
      </c>
      <c r="F5" s="1"/>
      <c r="G5" s="6" t="s">
        <v>3</v>
      </c>
      <c r="H5" s="5">
        <v>0</v>
      </c>
      <c r="I5" s="5">
        <v>12</v>
      </c>
      <c r="J5" s="5">
        <v>24</v>
      </c>
      <c r="K5" s="6">
        <f t="shared" ref="K5:K6" si="1">SUMPRODUCT($B$9:$C$9,H5:I5)</f>
        <v>0</v>
      </c>
      <c r="L5" s="1"/>
      <c r="M5" s="1"/>
      <c r="N5" s="1"/>
      <c r="O5" s="1"/>
      <c r="P5" s="1"/>
      <c r="Q5" s="1"/>
      <c r="R5" s="1"/>
      <c r="S5" s="2"/>
      <c r="T5" s="2"/>
      <c r="U5" s="2"/>
    </row>
    <row r="6" spans="1:21" x14ac:dyDescent="0.25">
      <c r="A6" s="6" t="s">
        <v>4</v>
      </c>
      <c r="B6" s="5">
        <v>2</v>
      </c>
      <c r="C6" s="5">
        <v>3</v>
      </c>
      <c r="D6" s="3"/>
      <c r="E6" s="1"/>
      <c r="F6" s="1"/>
      <c r="G6" s="6" t="s">
        <v>4</v>
      </c>
      <c r="H6" s="5">
        <v>2</v>
      </c>
      <c r="I6" s="5">
        <v>3</v>
      </c>
      <c r="J6" s="3"/>
      <c r="K6" s="1"/>
      <c r="L6" s="1"/>
      <c r="M6" s="1"/>
      <c r="N6" s="1"/>
      <c r="O6" s="1"/>
      <c r="P6" s="1"/>
      <c r="Q6" s="1"/>
      <c r="R6" s="1"/>
      <c r="S6" s="2"/>
      <c r="T6" s="2"/>
      <c r="U6" s="2"/>
    </row>
    <row r="7" spans="1:21" x14ac:dyDescent="0.25">
      <c r="A7" s="1"/>
      <c r="B7" s="3"/>
      <c r="C7" s="3"/>
      <c r="D7" s="3"/>
      <c r="E7" s="1"/>
      <c r="F7" s="1"/>
      <c r="G7" s="1"/>
      <c r="H7" s="3"/>
      <c r="I7" s="3"/>
      <c r="J7" s="3"/>
      <c r="K7" s="1"/>
      <c r="L7" s="1"/>
      <c r="M7" s="1"/>
      <c r="N7" s="1"/>
      <c r="O7" s="1"/>
      <c r="P7" s="1"/>
      <c r="Q7" s="1"/>
      <c r="R7" s="1"/>
      <c r="S7" s="2"/>
      <c r="T7" s="2"/>
      <c r="U7" s="2"/>
    </row>
    <row r="8" spans="1:21" x14ac:dyDescent="0.25">
      <c r="B8" s="7" t="s">
        <v>9</v>
      </c>
      <c r="C8" s="5" t="s">
        <v>10</v>
      </c>
      <c r="D8" s="3"/>
      <c r="E8" s="1"/>
      <c r="F8" s="1"/>
      <c r="H8" s="7" t="s">
        <v>9</v>
      </c>
      <c r="I8" s="5" t="s">
        <v>10</v>
      </c>
      <c r="J8" s="3"/>
      <c r="K8" s="1"/>
      <c r="L8" s="1"/>
      <c r="M8" s="1"/>
      <c r="N8" s="1"/>
      <c r="O8" s="1"/>
      <c r="P8" s="1"/>
      <c r="Q8" s="1"/>
      <c r="R8" s="1"/>
      <c r="S8" s="2"/>
      <c r="T8" s="2"/>
      <c r="U8" s="2"/>
    </row>
    <row r="9" spans="1:21" x14ac:dyDescent="0.25">
      <c r="B9" s="9">
        <v>6.9999999999999991</v>
      </c>
      <c r="C9" s="9">
        <v>0</v>
      </c>
      <c r="D9" s="3"/>
      <c r="E9" s="1"/>
      <c r="F9" s="1"/>
      <c r="H9" s="9">
        <v>0</v>
      </c>
      <c r="I9" s="9">
        <v>0</v>
      </c>
      <c r="J9" s="3"/>
      <c r="K9" s="1"/>
      <c r="L9" s="1"/>
      <c r="M9" s="1"/>
      <c r="N9" s="1"/>
      <c r="O9" s="1"/>
      <c r="P9" s="1"/>
      <c r="Q9" s="1"/>
      <c r="R9" s="1"/>
      <c r="S9" s="2"/>
      <c r="T9" s="2"/>
      <c r="U9" s="2"/>
    </row>
    <row r="10" spans="1:21" x14ac:dyDescent="0.25">
      <c r="D10" s="1"/>
      <c r="E10" s="1"/>
      <c r="F10" s="1"/>
      <c r="J10" s="1"/>
      <c r="K10" s="1"/>
      <c r="L10" s="1"/>
      <c r="M10" s="1"/>
      <c r="N10" s="1"/>
      <c r="O10" s="1"/>
      <c r="P10" s="1"/>
      <c r="Q10" s="1"/>
      <c r="R10" s="1"/>
      <c r="S10" s="2"/>
      <c r="T10" s="2"/>
      <c r="U10" s="2"/>
    </row>
    <row r="11" spans="1:21" x14ac:dyDescent="0.25">
      <c r="A11" s="6" t="s">
        <v>8</v>
      </c>
      <c r="B11" s="5">
        <f>B6</f>
        <v>2</v>
      </c>
      <c r="C11" s="5">
        <f>C6</f>
        <v>3</v>
      </c>
      <c r="D11" s="1"/>
      <c r="E11" s="1"/>
      <c r="F11" s="1"/>
      <c r="G11" s="6" t="s">
        <v>8</v>
      </c>
      <c r="H11" s="5">
        <f>H6</f>
        <v>2</v>
      </c>
      <c r="I11" s="5">
        <f>I6</f>
        <v>3</v>
      </c>
      <c r="J11" s="1"/>
      <c r="K11" s="1"/>
      <c r="L11" s="1"/>
      <c r="M11" s="1"/>
      <c r="N11" s="1"/>
      <c r="O11" s="1"/>
      <c r="P11" s="1"/>
      <c r="Q11" s="1"/>
      <c r="R11" s="1"/>
      <c r="S11" s="2"/>
      <c r="T11" s="2"/>
      <c r="U11" s="2"/>
    </row>
    <row r="12" spans="1:2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2"/>
      <c r="T12" s="2"/>
      <c r="U12" s="2"/>
    </row>
    <row r="13" spans="1:2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2"/>
      <c r="T13" s="2"/>
      <c r="U13" s="2"/>
    </row>
    <row r="14" spans="1:21" x14ac:dyDescent="0.25">
      <c r="A14" s="6">
        <v>0</v>
      </c>
      <c r="B14" s="8" t="str">
        <f>IF(A14=0,"MAX","MIN")</f>
        <v>MAX</v>
      </c>
      <c r="C14" s="1"/>
      <c r="D14" s="1"/>
      <c r="E14" s="1"/>
      <c r="F14" s="1"/>
      <c r="G14" s="6">
        <v>0</v>
      </c>
      <c r="H14" s="8" t="str">
        <f>IF(G14=0,"MAX","MIN")</f>
        <v>MAX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2"/>
      <c r="T14" s="2"/>
      <c r="U14" s="2"/>
    </row>
    <row r="15" spans="1:21" x14ac:dyDescent="0.25">
      <c r="A15" s="6" t="s">
        <v>12</v>
      </c>
      <c r="B15" s="6">
        <f>SUMPRODUCT(B11:C11,B9:C9)</f>
        <v>13.999999999999998</v>
      </c>
      <c r="C15" s="1"/>
      <c r="D15" s="1"/>
      <c r="E15" s="1"/>
      <c r="F15" s="1"/>
      <c r="G15" s="6" t="s">
        <v>12</v>
      </c>
      <c r="H15" s="6">
        <f>SUMPRODUCT(H11:I11,H9:I9)</f>
        <v>0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2"/>
      <c r="T15" s="2"/>
      <c r="U15" s="2"/>
    </row>
    <row r="16" spans="1:21" x14ac:dyDescent="0.25"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2"/>
      <c r="T16" s="2"/>
      <c r="U16" s="2"/>
    </row>
    <row r="17" spans="1:21" x14ac:dyDescent="0.25"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2"/>
      <c r="T17" s="2"/>
      <c r="U17" s="2"/>
    </row>
    <row r="18" spans="1:21" x14ac:dyDescent="0.25"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2"/>
      <c r="T18" s="2"/>
      <c r="U18" s="2"/>
    </row>
    <row r="19" spans="1:2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2"/>
      <c r="T19" s="2"/>
      <c r="U19" s="2"/>
    </row>
    <row r="20" spans="1:2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2"/>
      <c r="T20" s="2"/>
      <c r="U20" s="2"/>
    </row>
    <row r="21" spans="1:2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2"/>
      <c r="T21" s="2"/>
      <c r="U21" s="2"/>
    </row>
    <row r="22" spans="1:2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2"/>
      <c r="T22" s="2"/>
      <c r="U22" s="2"/>
    </row>
    <row r="23" spans="1:2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2"/>
      <c r="T23" s="2"/>
      <c r="U23" s="2"/>
    </row>
    <row r="24" spans="1:2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2"/>
      <c r="T24" s="2"/>
      <c r="U24" s="2"/>
    </row>
    <row r="25" spans="1:2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1:2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</sheetData>
  <mergeCells count="8">
    <mergeCell ref="H1:I1"/>
    <mergeCell ref="J1:J2"/>
    <mergeCell ref="K1:K2"/>
    <mergeCell ref="A1:A2"/>
    <mergeCell ref="B1:C1"/>
    <mergeCell ref="D1:D2"/>
    <mergeCell ref="E1:E2"/>
    <mergeCell ref="G1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"/>
  <sheetViews>
    <sheetView workbookViewId="0">
      <selection activeCell="B15" sqref="B15"/>
    </sheetView>
  </sheetViews>
  <sheetFormatPr defaultRowHeight="15" x14ac:dyDescent="0.25"/>
  <cols>
    <col min="1" max="1" width="19.42578125" customWidth="1"/>
    <col min="2" max="2" width="10.28515625" customWidth="1"/>
    <col min="3" max="3" width="10" customWidth="1"/>
    <col min="4" max="4" width="15.5703125" customWidth="1"/>
    <col min="7" max="7" width="17.7109375" customWidth="1"/>
    <col min="8" max="8" width="12.140625" customWidth="1"/>
    <col min="9" max="9" width="11.7109375" customWidth="1"/>
    <col min="10" max="10" width="15.85546875" customWidth="1"/>
  </cols>
  <sheetData>
    <row r="1" spans="1:15" x14ac:dyDescent="0.25">
      <c r="A1" s="4" t="s">
        <v>0</v>
      </c>
      <c r="B1" s="4" t="s">
        <v>7</v>
      </c>
      <c r="C1" s="4"/>
      <c r="D1" s="4" t="s">
        <v>11</v>
      </c>
      <c r="E1" s="4" t="s">
        <v>13</v>
      </c>
      <c r="F1" s="1"/>
      <c r="G1" s="4" t="s">
        <v>0</v>
      </c>
      <c r="H1" s="4" t="s">
        <v>7</v>
      </c>
      <c r="I1" s="4"/>
      <c r="J1" s="4" t="s">
        <v>11</v>
      </c>
      <c r="K1" s="4" t="s">
        <v>13</v>
      </c>
      <c r="N1" s="1"/>
      <c r="O1" s="1"/>
    </row>
    <row r="2" spans="1:15" ht="30" x14ac:dyDescent="0.25">
      <c r="A2" s="4"/>
      <c r="B2" s="5" t="s">
        <v>14</v>
      </c>
      <c r="C2" s="5" t="s">
        <v>15</v>
      </c>
      <c r="D2" s="4"/>
      <c r="E2" s="4"/>
      <c r="F2" s="1"/>
      <c r="G2" s="4"/>
      <c r="H2" s="5" t="s">
        <v>14</v>
      </c>
      <c r="I2" s="5" t="s">
        <v>15</v>
      </c>
      <c r="J2" s="4"/>
      <c r="K2" s="4"/>
      <c r="N2" s="1"/>
      <c r="O2" s="1"/>
    </row>
    <row r="3" spans="1:15" x14ac:dyDescent="0.25">
      <c r="A3" s="6" t="s">
        <v>16</v>
      </c>
      <c r="B3" s="5">
        <v>4</v>
      </c>
      <c r="C3" s="5">
        <v>2</v>
      </c>
      <c r="D3" s="5">
        <v>900</v>
      </c>
      <c r="E3" s="6">
        <f>SUMPRODUCT($B$9:$C$9,B3:C3)</f>
        <v>800</v>
      </c>
      <c r="F3" s="1"/>
      <c r="G3" s="6" t="s">
        <v>16</v>
      </c>
      <c r="H3" s="5">
        <v>4</v>
      </c>
      <c r="I3" s="5">
        <v>2</v>
      </c>
      <c r="J3" s="5">
        <v>900</v>
      </c>
      <c r="K3" s="6">
        <f>SUMPRODUCT($B$9:$C$9,H3:I3)</f>
        <v>800</v>
      </c>
      <c r="N3" s="1"/>
      <c r="O3" s="1"/>
    </row>
    <row r="4" spans="1:15" x14ac:dyDescent="0.25">
      <c r="A4" s="6" t="s">
        <v>17</v>
      </c>
      <c r="B4" s="5">
        <v>2</v>
      </c>
      <c r="C4" s="5">
        <v>1</v>
      </c>
      <c r="D4" s="5">
        <v>400</v>
      </c>
      <c r="E4" s="6">
        <f>SUMPRODUCT($B$9:$C$9,B4:C4)</f>
        <v>400</v>
      </c>
      <c r="F4" s="1"/>
      <c r="G4" s="6" t="s">
        <v>17</v>
      </c>
      <c r="H4" s="5">
        <v>2</v>
      </c>
      <c r="I4" s="5">
        <v>1</v>
      </c>
      <c r="J4" s="5">
        <v>400</v>
      </c>
      <c r="K4" s="6">
        <f>SUMPRODUCT($B$9:$C$9,H4:I4)</f>
        <v>400</v>
      </c>
      <c r="N4" s="1"/>
      <c r="O4" s="1"/>
    </row>
    <row r="5" spans="1:15" x14ac:dyDescent="0.25">
      <c r="A5" s="6" t="s">
        <v>18</v>
      </c>
      <c r="B5" s="5">
        <v>1</v>
      </c>
      <c r="C5" s="5">
        <v>1</v>
      </c>
      <c r="D5" s="5">
        <v>300</v>
      </c>
      <c r="E5" s="6">
        <f t="shared" ref="E5:E6" si="0">SUMPRODUCT($B$9:$C$9,B5:C5)</f>
        <v>300</v>
      </c>
      <c r="F5" s="1"/>
      <c r="G5" s="6" t="s">
        <v>18</v>
      </c>
      <c r="H5" s="5">
        <v>1</v>
      </c>
      <c r="I5" s="5">
        <v>1</v>
      </c>
      <c r="J5" s="5">
        <v>300</v>
      </c>
      <c r="K5" s="6">
        <f t="shared" ref="K5:K6" si="1">SUMPRODUCT($B$9:$C$9,H5:I5)</f>
        <v>300</v>
      </c>
      <c r="N5" s="1"/>
      <c r="O5" s="1"/>
    </row>
    <row r="6" spans="1:15" ht="30" x14ac:dyDescent="0.25">
      <c r="A6" s="6" t="s">
        <v>4</v>
      </c>
      <c r="B6" s="5">
        <v>6</v>
      </c>
      <c r="C6" s="5">
        <v>5</v>
      </c>
      <c r="D6" s="3"/>
      <c r="E6" s="1"/>
      <c r="F6" s="1"/>
      <c r="G6" s="6" t="s">
        <v>4</v>
      </c>
      <c r="H6" s="5">
        <v>6</v>
      </c>
      <c r="I6" s="5">
        <v>5</v>
      </c>
      <c r="J6" s="3"/>
      <c r="K6" s="1"/>
      <c r="N6" s="1"/>
      <c r="O6" s="1"/>
    </row>
    <row r="7" spans="1:15" x14ac:dyDescent="0.25">
      <c r="A7" s="1"/>
      <c r="B7" s="3"/>
      <c r="C7" s="3"/>
      <c r="D7" s="3"/>
      <c r="E7" s="1"/>
      <c r="F7" s="1"/>
      <c r="G7" s="1"/>
      <c r="H7" s="3"/>
      <c r="I7" s="3"/>
      <c r="J7" s="3"/>
      <c r="K7" s="1"/>
      <c r="N7" s="1"/>
      <c r="O7" s="1"/>
    </row>
    <row r="8" spans="1:15" x14ac:dyDescent="0.25">
      <c r="B8" s="7" t="s">
        <v>9</v>
      </c>
      <c r="C8" s="5" t="s">
        <v>10</v>
      </c>
      <c r="D8" s="3"/>
      <c r="E8" s="1"/>
      <c r="F8" s="1"/>
      <c r="H8" s="7" t="s">
        <v>9</v>
      </c>
      <c r="I8" s="5" t="s">
        <v>10</v>
      </c>
      <c r="J8" s="3"/>
      <c r="K8" s="1"/>
      <c r="N8" s="1"/>
      <c r="O8" s="1"/>
    </row>
    <row r="9" spans="1:15" x14ac:dyDescent="0.25">
      <c r="B9" s="9">
        <v>100</v>
      </c>
      <c r="C9" s="9">
        <v>200</v>
      </c>
      <c r="D9" s="3"/>
      <c r="E9" s="1"/>
      <c r="F9" s="1"/>
      <c r="H9" s="9"/>
      <c r="I9" s="9"/>
      <c r="J9" s="3"/>
      <c r="K9" s="1"/>
      <c r="N9" s="1"/>
      <c r="O9" s="1"/>
    </row>
    <row r="10" spans="1:15" x14ac:dyDescent="0.25">
      <c r="D10" s="1"/>
      <c r="E10" s="1"/>
      <c r="F10" s="1"/>
      <c r="J10" s="1"/>
      <c r="K10" s="1"/>
      <c r="N10" s="1"/>
      <c r="O10" s="1"/>
    </row>
    <row r="11" spans="1:15" x14ac:dyDescent="0.25">
      <c r="A11" s="6" t="s">
        <v>8</v>
      </c>
      <c r="B11" s="5">
        <f>B6</f>
        <v>6</v>
      </c>
      <c r="C11" s="5">
        <f>C6</f>
        <v>5</v>
      </c>
      <c r="D11" s="1"/>
      <c r="E11" s="1"/>
      <c r="F11" s="1"/>
      <c r="G11" s="6" t="s">
        <v>8</v>
      </c>
      <c r="H11" s="5">
        <f>H6</f>
        <v>6</v>
      </c>
      <c r="I11" s="5">
        <f>I6</f>
        <v>5</v>
      </c>
      <c r="J11" s="1"/>
      <c r="K11" s="1"/>
      <c r="N11" s="1"/>
      <c r="O11" s="1"/>
    </row>
    <row r="12" spans="1:15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N12" s="1"/>
      <c r="O12" s="1"/>
    </row>
    <row r="13" spans="1:15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N13" s="1"/>
      <c r="O13" s="1"/>
    </row>
    <row r="14" spans="1:15" x14ac:dyDescent="0.25">
      <c r="A14" s="6">
        <v>0</v>
      </c>
      <c r="B14" s="8" t="str">
        <f>IF(A14=0,"MAX","MIN")</f>
        <v>MAX</v>
      </c>
      <c r="C14" s="1"/>
      <c r="D14" s="1"/>
      <c r="E14" s="1"/>
      <c r="F14" s="1"/>
      <c r="G14" s="6">
        <v>0</v>
      </c>
      <c r="H14" s="8" t="str">
        <f>IF(G14=0,"MAX","MIN")</f>
        <v>MAX</v>
      </c>
      <c r="I14" s="1"/>
      <c r="J14" s="1"/>
      <c r="K14" s="1"/>
      <c r="N14" s="1"/>
      <c r="O14" s="1"/>
    </row>
    <row r="15" spans="1:15" x14ac:dyDescent="0.25">
      <c r="A15" s="6" t="s">
        <v>12</v>
      </c>
      <c r="B15" s="6">
        <f>SUMPRODUCT(B11:C11,B9:C9)</f>
        <v>1600</v>
      </c>
      <c r="C15" s="1"/>
      <c r="D15" s="1"/>
      <c r="E15" s="1"/>
      <c r="F15" s="1"/>
      <c r="G15" s="6" t="s">
        <v>12</v>
      </c>
      <c r="H15" s="6">
        <f>SUMPRODUCT(H11:I11,H9:I9)</f>
        <v>0</v>
      </c>
      <c r="I15" s="1"/>
      <c r="J15" s="1"/>
      <c r="K15" s="1"/>
      <c r="N15" s="1"/>
      <c r="O15" s="1"/>
    </row>
    <row r="16" spans="1:15" x14ac:dyDescent="0.25">
      <c r="D16" s="1"/>
      <c r="E16" s="1"/>
      <c r="F16" s="1"/>
      <c r="N16" s="1"/>
      <c r="O16" s="1"/>
    </row>
    <row r="17" spans="1:15" x14ac:dyDescent="0.25"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x14ac:dyDescent="0.25"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5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</sheetData>
  <mergeCells count="8">
    <mergeCell ref="J1:J2"/>
    <mergeCell ref="K1:K2"/>
    <mergeCell ref="A1:A2"/>
    <mergeCell ref="B1:C1"/>
    <mergeCell ref="D1:D2"/>
    <mergeCell ref="E1:E2"/>
    <mergeCell ref="G1:G2"/>
    <mergeCell ref="H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workbookViewId="0">
      <selection sqref="A1:E15"/>
    </sheetView>
  </sheetViews>
  <sheetFormatPr defaultRowHeight="15" x14ac:dyDescent="0.25"/>
  <cols>
    <col min="1" max="1" width="18" customWidth="1"/>
    <col min="2" max="2" width="15.42578125" customWidth="1"/>
    <col min="3" max="3" width="14.28515625" customWidth="1"/>
    <col min="4" max="4" width="14.5703125" customWidth="1"/>
    <col min="7" max="7" width="15.140625" customWidth="1"/>
    <col min="8" max="8" width="14.140625" customWidth="1"/>
    <col min="9" max="9" width="15.5703125" customWidth="1"/>
    <col min="10" max="10" width="13.7109375" customWidth="1"/>
    <col min="11" max="11" width="13.42578125" customWidth="1"/>
  </cols>
  <sheetData>
    <row r="1" spans="1:11" ht="15" customHeight="1" x14ac:dyDescent="0.25">
      <c r="A1" s="4" t="s">
        <v>0</v>
      </c>
      <c r="B1" s="4" t="s">
        <v>7</v>
      </c>
      <c r="C1" s="4"/>
      <c r="D1" s="4" t="s">
        <v>11</v>
      </c>
      <c r="E1" s="4" t="s">
        <v>13</v>
      </c>
      <c r="G1" s="4" t="s">
        <v>0</v>
      </c>
      <c r="H1" s="4" t="s">
        <v>7</v>
      </c>
      <c r="I1" s="4"/>
      <c r="J1" s="4" t="s">
        <v>11</v>
      </c>
      <c r="K1" s="4" t="s">
        <v>13</v>
      </c>
    </row>
    <row r="2" spans="1:11" x14ac:dyDescent="0.25">
      <c r="A2" s="4"/>
      <c r="B2" s="5" t="s">
        <v>5</v>
      </c>
      <c r="C2" s="5" t="s">
        <v>6</v>
      </c>
      <c r="D2" s="4"/>
      <c r="E2" s="4"/>
      <c r="G2" s="4"/>
      <c r="H2" s="5" t="s">
        <v>5</v>
      </c>
      <c r="I2" s="5" t="s">
        <v>6</v>
      </c>
      <c r="J2" s="4"/>
      <c r="K2" s="4"/>
    </row>
    <row r="3" spans="1:11" x14ac:dyDescent="0.25">
      <c r="A3" s="6" t="s">
        <v>19</v>
      </c>
      <c r="B3" s="5">
        <v>2</v>
      </c>
      <c r="C3" s="5">
        <v>2</v>
      </c>
      <c r="D3" s="5">
        <v>14</v>
      </c>
      <c r="E3" s="6">
        <f>SUMPRODUCT($B$9:$C$9,B3:C3)</f>
        <v>14</v>
      </c>
      <c r="G3" s="6" t="s">
        <v>19</v>
      </c>
      <c r="H3" s="5">
        <v>2</v>
      </c>
      <c r="I3" s="5">
        <v>2</v>
      </c>
      <c r="J3" s="5">
        <v>14</v>
      </c>
      <c r="K3" s="6">
        <f>SUMPRODUCT($B$9:$C$9,H3:I3)</f>
        <v>14</v>
      </c>
    </row>
    <row r="4" spans="1:11" x14ac:dyDescent="0.25">
      <c r="A4" s="6" t="s">
        <v>20</v>
      </c>
      <c r="B4" s="5">
        <v>1</v>
      </c>
      <c r="C4" s="5">
        <v>2</v>
      </c>
      <c r="D4" s="5">
        <v>9</v>
      </c>
      <c r="E4" s="6">
        <f>SUMPRODUCT($B$9:$C$9,B4:C4)</f>
        <v>9</v>
      </c>
      <c r="G4" s="6" t="s">
        <v>20</v>
      </c>
      <c r="H4" s="5">
        <v>1</v>
      </c>
      <c r="I4" s="5">
        <v>2</v>
      </c>
      <c r="J4" s="5">
        <v>9</v>
      </c>
      <c r="K4" s="6">
        <f>SUMPRODUCT($B$9:$C$9,H4:I4)</f>
        <v>9</v>
      </c>
    </row>
    <row r="5" spans="1:11" x14ac:dyDescent="0.25">
      <c r="A5" s="6" t="s">
        <v>21</v>
      </c>
      <c r="B5" s="5">
        <v>0</v>
      </c>
      <c r="C5" s="5">
        <v>4</v>
      </c>
      <c r="D5" s="5">
        <v>16</v>
      </c>
      <c r="E5" s="6">
        <f t="shared" ref="E5:E6" si="0">SUMPRODUCT($B$9:$C$9,B5:C5)</f>
        <v>8</v>
      </c>
      <c r="G5" s="6" t="s">
        <v>21</v>
      </c>
      <c r="H5" s="5">
        <v>0</v>
      </c>
      <c r="I5" s="5">
        <v>4</v>
      </c>
      <c r="J5" s="5">
        <v>16</v>
      </c>
      <c r="K5" s="6">
        <f t="shared" ref="K5:K6" si="1">SUMPRODUCT($B$9:$C$9,H5:I5)</f>
        <v>8</v>
      </c>
    </row>
    <row r="6" spans="1:11" ht="30" x14ac:dyDescent="0.25">
      <c r="A6" s="6" t="s">
        <v>4</v>
      </c>
      <c r="B6" s="5">
        <v>2</v>
      </c>
      <c r="C6" s="5">
        <v>3</v>
      </c>
      <c r="D6" s="3"/>
      <c r="E6" s="1"/>
      <c r="G6" s="6" t="s">
        <v>4</v>
      </c>
      <c r="H6" s="5">
        <v>2</v>
      </c>
      <c r="I6" s="5">
        <v>3</v>
      </c>
      <c r="J6" s="3"/>
      <c r="K6" s="1"/>
    </row>
    <row r="7" spans="1:11" x14ac:dyDescent="0.25">
      <c r="A7" s="1"/>
      <c r="B7" s="3"/>
      <c r="C7" s="3"/>
      <c r="D7" s="3"/>
      <c r="E7" s="1"/>
      <c r="G7" s="1"/>
      <c r="H7" s="3"/>
      <c r="I7" s="3"/>
      <c r="J7" s="3"/>
      <c r="K7" s="1"/>
    </row>
    <row r="8" spans="1:11" x14ac:dyDescent="0.25">
      <c r="B8" s="7" t="s">
        <v>9</v>
      </c>
      <c r="C8" s="5" t="s">
        <v>10</v>
      </c>
      <c r="D8" s="3"/>
      <c r="E8" s="1"/>
      <c r="H8" s="7" t="s">
        <v>9</v>
      </c>
      <c r="I8" s="5" t="s">
        <v>10</v>
      </c>
      <c r="J8" s="3"/>
      <c r="K8" s="1"/>
    </row>
    <row r="9" spans="1:11" x14ac:dyDescent="0.25">
      <c r="B9" s="9">
        <v>5</v>
      </c>
      <c r="C9" s="9">
        <v>2</v>
      </c>
      <c r="D9" s="3"/>
      <c r="E9" s="1"/>
      <c r="H9" s="9"/>
      <c r="I9" s="9"/>
      <c r="J9" s="3"/>
      <c r="K9" s="1"/>
    </row>
    <row r="10" spans="1:11" x14ac:dyDescent="0.25">
      <c r="D10" s="1"/>
      <c r="E10" s="1"/>
      <c r="J10" s="1"/>
      <c r="K10" s="1"/>
    </row>
    <row r="11" spans="1:11" x14ac:dyDescent="0.25">
      <c r="A11" s="6" t="s">
        <v>8</v>
      </c>
      <c r="B11" s="5">
        <f>B6</f>
        <v>2</v>
      </c>
      <c r="C11" s="5">
        <f>C6</f>
        <v>3</v>
      </c>
      <c r="D11" s="1"/>
      <c r="E11" s="1"/>
      <c r="G11" s="6" t="s">
        <v>8</v>
      </c>
      <c r="H11" s="5">
        <f>H6</f>
        <v>2</v>
      </c>
      <c r="I11" s="5">
        <f>I6</f>
        <v>3</v>
      </c>
      <c r="J11" s="1"/>
      <c r="K11" s="1"/>
    </row>
    <row r="12" spans="1:11" x14ac:dyDescent="0.25">
      <c r="A12" s="1"/>
      <c r="B12" s="1"/>
      <c r="C12" s="1"/>
      <c r="D12" s="1"/>
      <c r="E12" s="1"/>
      <c r="G12" s="1"/>
      <c r="H12" s="1"/>
      <c r="I12" s="1"/>
      <c r="J12" s="1"/>
      <c r="K12" s="1"/>
    </row>
    <row r="13" spans="1:11" x14ac:dyDescent="0.25">
      <c r="A13" s="1"/>
      <c r="B13" s="1"/>
      <c r="C13" s="1"/>
      <c r="D13" s="1"/>
      <c r="E13" s="1"/>
      <c r="G13" s="1"/>
      <c r="H13" s="1"/>
      <c r="I13" s="1"/>
      <c r="J13" s="1"/>
      <c r="K13" s="1"/>
    </row>
    <row r="14" spans="1:11" x14ac:dyDescent="0.25">
      <c r="A14" s="6">
        <v>0</v>
      </c>
      <c r="B14" s="8" t="str">
        <f>IF(A14=0,"MAX","MIN")</f>
        <v>MAX</v>
      </c>
      <c r="C14" s="1"/>
      <c r="D14" s="1"/>
      <c r="E14" s="1"/>
      <c r="G14" s="6">
        <v>0</v>
      </c>
      <c r="H14" s="8" t="str">
        <f>IF(G14=0,"MAX","MIN")</f>
        <v>MAX</v>
      </c>
      <c r="I14" s="1"/>
      <c r="J14" s="1"/>
      <c r="K14" s="1"/>
    </row>
    <row r="15" spans="1:11" x14ac:dyDescent="0.25">
      <c r="A15" s="6" t="s">
        <v>12</v>
      </c>
      <c r="B15" s="6">
        <f>SUMPRODUCT(B11:C11,B9:C9)</f>
        <v>16</v>
      </c>
      <c r="C15" s="1"/>
      <c r="D15" s="1"/>
      <c r="E15" s="1"/>
      <c r="G15" s="6" t="s">
        <v>12</v>
      </c>
      <c r="H15" s="6">
        <f>SUMPRODUCT(H11:I11,H9:I9)</f>
        <v>0</v>
      </c>
      <c r="I15" s="1"/>
      <c r="J15" s="1"/>
      <c r="K15" s="1"/>
    </row>
  </sheetData>
  <mergeCells count="8">
    <mergeCell ref="J1:J2"/>
    <mergeCell ref="K1:K2"/>
    <mergeCell ref="A1:A2"/>
    <mergeCell ref="B1:C1"/>
    <mergeCell ref="D1:D2"/>
    <mergeCell ref="E1:E2"/>
    <mergeCell ref="G1:G2"/>
    <mergeCell ref="H1:I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selection activeCell="E15" sqref="A1:E15"/>
    </sheetView>
  </sheetViews>
  <sheetFormatPr defaultRowHeight="15" x14ac:dyDescent="0.25"/>
  <cols>
    <col min="1" max="1" width="18.85546875" customWidth="1"/>
    <col min="2" max="2" width="12.140625" customWidth="1"/>
    <col min="3" max="4" width="15" customWidth="1"/>
  </cols>
  <sheetData>
    <row r="1" spans="1:5" x14ac:dyDescent="0.25">
      <c r="A1" s="4" t="s">
        <v>0</v>
      </c>
      <c r="B1" s="4" t="s">
        <v>7</v>
      </c>
      <c r="C1" s="4"/>
      <c r="D1" s="4" t="s">
        <v>11</v>
      </c>
      <c r="E1" s="4" t="s">
        <v>13</v>
      </c>
    </row>
    <row r="2" spans="1:5" x14ac:dyDescent="0.25">
      <c r="A2" s="4"/>
      <c r="B2" s="5" t="s">
        <v>5</v>
      </c>
      <c r="C2" s="5" t="s">
        <v>6</v>
      </c>
      <c r="D2" s="4"/>
      <c r="E2" s="4"/>
    </row>
    <row r="3" spans="1:5" x14ac:dyDescent="0.25">
      <c r="A3" s="6" t="s">
        <v>19</v>
      </c>
      <c r="B3" s="5">
        <v>4</v>
      </c>
      <c r="C3" s="5">
        <v>2</v>
      </c>
      <c r="D3" s="5">
        <v>32</v>
      </c>
      <c r="E3" s="10">
        <f>SUMPRODUCT($B$9:$C$9,B3:C3)</f>
        <v>32</v>
      </c>
    </row>
    <row r="4" spans="1:5" x14ac:dyDescent="0.25">
      <c r="A4" s="6" t="s">
        <v>20</v>
      </c>
      <c r="B4" s="5">
        <v>2</v>
      </c>
      <c r="C4" s="5">
        <v>3</v>
      </c>
      <c r="D4" s="5">
        <v>32</v>
      </c>
      <c r="E4" s="10">
        <f>SUMPRODUCT($B$9:$C$9,B4:C4)</f>
        <v>29.333333333333332</v>
      </c>
    </row>
    <row r="5" spans="1:5" x14ac:dyDescent="0.25">
      <c r="A5" s="6" t="s">
        <v>21</v>
      </c>
      <c r="B5" s="5">
        <v>2</v>
      </c>
      <c r="C5" s="5">
        <v>4</v>
      </c>
      <c r="D5" s="5">
        <v>36</v>
      </c>
      <c r="E5" s="10">
        <f t="shared" ref="E5:E6" si="0">SUMPRODUCT($B$9:$C$9,B5:C5)</f>
        <v>36</v>
      </c>
    </row>
    <row r="6" spans="1:5" x14ac:dyDescent="0.25">
      <c r="A6" s="6" t="s">
        <v>4</v>
      </c>
      <c r="B6" s="5">
        <v>5</v>
      </c>
      <c r="C6" s="5">
        <v>8</v>
      </c>
      <c r="D6" s="3"/>
      <c r="E6" s="1"/>
    </row>
    <row r="7" spans="1:5" x14ac:dyDescent="0.25">
      <c r="A7" s="1"/>
      <c r="B7" s="3"/>
      <c r="C7" s="3"/>
      <c r="D7" s="3"/>
      <c r="E7" s="1"/>
    </row>
    <row r="8" spans="1:5" x14ac:dyDescent="0.25">
      <c r="B8" s="7" t="s">
        <v>9</v>
      </c>
      <c r="C8" s="5" t="s">
        <v>10</v>
      </c>
      <c r="D8" s="3"/>
      <c r="E8" s="1"/>
    </row>
    <row r="9" spans="1:5" x14ac:dyDescent="0.25">
      <c r="B9" s="11">
        <v>4.6666666666666661</v>
      </c>
      <c r="C9" s="11">
        <v>6.666666666666667</v>
      </c>
      <c r="D9" s="3"/>
      <c r="E9" s="1"/>
    </row>
    <row r="10" spans="1:5" x14ac:dyDescent="0.25">
      <c r="D10" s="1"/>
      <c r="E10" s="1"/>
    </row>
    <row r="11" spans="1:5" x14ac:dyDescent="0.25">
      <c r="A11" s="6" t="s">
        <v>8</v>
      </c>
      <c r="B11" s="5">
        <f>B6</f>
        <v>5</v>
      </c>
      <c r="C11" s="5">
        <f>C6</f>
        <v>8</v>
      </c>
      <c r="D11" s="1"/>
      <c r="E11" s="1"/>
    </row>
    <row r="12" spans="1:5" x14ac:dyDescent="0.25">
      <c r="A12" s="1"/>
      <c r="B12" s="1"/>
      <c r="C12" s="1"/>
      <c r="D12" s="1"/>
      <c r="E12" s="1"/>
    </row>
    <row r="13" spans="1:5" x14ac:dyDescent="0.25">
      <c r="A13" s="1"/>
      <c r="B13" s="1"/>
      <c r="C13" s="1"/>
      <c r="D13" s="1"/>
      <c r="E13" s="1"/>
    </row>
    <row r="14" spans="1:5" x14ac:dyDescent="0.25">
      <c r="A14" s="6">
        <v>0</v>
      </c>
      <c r="B14" s="8" t="str">
        <f>IF(A14=0,"MAX","MIN")</f>
        <v>MAX</v>
      </c>
      <c r="C14" s="1"/>
      <c r="D14" s="1"/>
      <c r="E14" s="1"/>
    </row>
    <row r="15" spans="1:5" x14ac:dyDescent="0.25">
      <c r="A15" s="6" t="s">
        <v>12</v>
      </c>
      <c r="B15" s="10">
        <f>SUMPRODUCT(B11:C11,B9:C9)</f>
        <v>76.666666666666657</v>
      </c>
      <c r="C15" s="1"/>
      <c r="D15" s="1"/>
      <c r="E15" s="1"/>
    </row>
  </sheetData>
  <mergeCells count="4">
    <mergeCell ref="A1:A2"/>
    <mergeCell ref="B1:C1"/>
    <mergeCell ref="D1:D2"/>
    <mergeCell ref="E1:E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tabSelected="1" workbookViewId="0">
      <selection activeCell="B16" sqref="B16"/>
    </sheetView>
  </sheetViews>
  <sheetFormatPr defaultRowHeight="15" x14ac:dyDescent="0.25"/>
  <cols>
    <col min="1" max="1" width="12.5703125" customWidth="1"/>
    <col min="2" max="2" width="14.5703125" customWidth="1"/>
    <col min="3" max="3" width="15" customWidth="1"/>
    <col min="4" max="4" width="10.7109375" customWidth="1"/>
    <col min="5" max="5" width="13" customWidth="1"/>
  </cols>
  <sheetData>
    <row r="1" spans="1:5" x14ac:dyDescent="0.25">
      <c r="A1" s="4" t="s">
        <v>0</v>
      </c>
      <c r="B1" s="4" t="s">
        <v>7</v>
      </c>
      <c r="C1" s="4"/>
      <c r="D1" s="4" t="s">
        <v>11</v>
      </c>
      <c r="E1" s="4" t="s">
        <v>13</v>
      </c>
    </row>
    <row r="2" spans="1:5" x14ac:dyDescent="0.25">
      <c r="A2" s="4"/>
      <c r="B2" s="5" t="s">
        <v>5</v>
      </c>
      <c r="C2" s="5" t="s">
        <v>6</v>
      </c>
      <c r="D2" s="4"/>
      <c r="E2" s="4"/>
    </row>
    <row r="3" spans="1:5" x14ac:dyDescent="0.25">
      <c r="A3" s="6" t="s">
        <v>19</v>
      </c>
      <c r="B3" s="5">
        <v>2</v>
      </c>
      <c r="C3" s="5">
        <v>1</v>
      </c>
      <c r="D3" s="5">
        <v>16</v>
      </c>
      <c r="E3" s="10">
        <f>SUMPRODUCT($B$10:$C$10,B3:C3)</f>
        <v>20</v>
      </c>
    </row>
    <row r="4" spans="1:5" x14ac:dyDescent="0.25">
      <c r="A4" s="6" t="s">
        <v>20</v>
      </c>
      <c r="B4" s="5">
        <v>1</v>
      </c>
      <c r="C4" s="5">
        <v>1</v>
      </c>
      <c r="D4" s="5">
        <v>10</v>
      </c>
      <c r="E4" s="10">
        <f>SUMPRODUCT($B$10:$C$10,B4:C4)</f>
        <v>13</v>
      </c>
    </row>
    <row r="5" spans="1:5" x14ac:dyDescent="0.25">
      <c r="A5" s="6" t="s">
        <v>21</v>
      </c>
      <c r="B5" s="5">
        <v>0</v>
      </c>
      <c r="C5" s="5">
        <v>1</v>
      </c>
      <c r="D5" s="5">
        <v>6</v>
      </c>
      <c r="E5" s="10">
        <f>SUMPRODUCT($B$10:$C$10,B5:C5)</f>
        <v>6</v>
      </c>
    </row>
    <row r="6" spans="1:5" x14ac:dyDescent="0.25">
      <c r="A6" s="12" t="s">
        <v>22</v>
      </c>
      <c r="B6">
        <v>1</v>
      </c>
      <c r="C6">
        <v>0</v>
      </c>
      <c r="D6" s="13">
        <v>7</v>
      </c>
      <c r="E6" s="10">
        <f>SUMPRODUCT($B$10:$C$10,B6:C6)</f>
        <v>7</v>
      </c>
    </row>
    <row r="7" spans="1:5" ht="30" x14ac:dyDescent="0.25">
      <c r="A7" s="6" t="s">
        <v>4</v>
      </c>
      <c r="B7" s="5">
        <v>3</v>
      </c>
      <c r="C7" s="5">
        <v>4</v>
      </c>
    </row>
    <row r="8" spans="1:5" x14ac:dyDescent="0.25">
      <c r="A8" s="1"/>
      <c r="B8" s="3"/>
      <c r="C8" s="3"/>
    </row>
    <row r="9" spans="1:5" x14ac:dyDescent="0.25">
      <c r="B9" s="7" t="s">
        <v>9</v>
      </c>
      <c r="C9" s="5" t="s">
        <v>10</v>
      </c>
    </row>
    <row r="10" spans="1:5" x14ac:dyDescent="0.25">
      <c r="B10" s="11">
        <v>7</v>
      </c>
      <c r="C10" s="11">
        <v>6</v>
      </c>
    </row>
    <row r="12" spans="1:5" x14ac:dyDescent="0.25">
      <c r="A12" s="6" t="s">
        <v>8</v>
      </c>
      <c r="B12" s="5">
        <f>B7</f>
        <v>3</v>
      </c>
      <c r="C12" s="5">
        <f>C7</f>
        <v>4</v>
      </c>
    </row>
    <row r="13" spans="1:5" x14ac:dyDescent="0.25">
      <c r="A13" s="1"/>
      <c r="B13" s="1"/>
      <c r="C13" s="1"/>
    </row>
    <row r="14" spans="1:5" x14ac:dyDescent="0.25">
      <c r="A14" s="1"/>
      <c r="B14" s="1"/>
      <c r="C14" s="1"/>
    </row>
    <row r="15" spans="1:5" x14ac:dyDescent="0.25">
      <c r="A15" s="6">
        <v>1</v>
      </c>
      <c r="B15" s="8" t="str">
        <f>IF(A15=0,"MAX","MIN")</f>
        <v>MIN</v>
      </c>
      <c r="C15" s="1"/>
    </row>
    <row r="16" spans="1:5" x14ac:dyDescent="0.25">
      <c r="A16" s="6" t="s">
        <v>12</v>
      </c>
      <c r="B16" s="10">
        <f>SUMPRODUCT(B12:C12,B10:C10)</f>
        <v>45</v>
      </c>
      <c r="C16" s="1"/>
    </row>
  </sheetData>
  <mergeCells count="4">
    <mergeCell ref="A1:A2"/>
    <mergeCell ref="B1:C1"/>
    <mergeCell ref="D1:D2"/>
    <mergeCell ref="E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Лист1</vt:lpstr>
      <vt:lpstr>Лист2</vt:lpstr>
      <vt:lpstr>Лист3</vt:lpstr>
      <vt:lpstr>Лист4</vt:lpstr>
      <vt:lpstr>Лист5</vt:lpstr>
    </vt:vector>
  </TitlesOfParts>
  <Company>Академия ТОП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2026-04-21T09:04:21Z</dcterms:created>
  <dcterms:modified xsi:type="dcterms:W3CDTF">2026-04-21T10:17:44Z</dcterms:modified>
</cp:coreProperties>
</file>