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4385" activeTab="1"/>
  </bookViews>
  <sheets>
    <sheet name="Лист1" sheetId="1" r:id="rId1"/>
    <sheet name="Лист2" sheetId="2" r:id="rId2"/>
    <sheet name="Лист3" sheetId="3" r:id="rId3"/>
  </sheets>
  <definedNames>
    <definedName name="solver_adj" localSheetId="1" hidden="1">Лист2!$B$3:$F$8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Лист2!$B$3:$F$8</definedName>
    <definedName name="solver_lhs2" localSheetId="1" hidden="1">Лист2!$B$9:$F$9</definedName>
    <definedName name="solver_lhs3" localSheetId="1" hidden="1">Лист2!$G$3:$G$6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Лист2!$B$13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el3" localSheetId="1" hidden="1">2</definedName>
    <definedName name="solver_rhs1" localSheetId="1" hidden="1">0</definedName>
    <definedName name="solver_rhs2" localSheetId="1" hidden="1">Лист2!$B$10:$F$10</definedName>
    <definedName name="solver_rhs3" localSheetId="1" hidden="1">Лист2!$H$3:$H$6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45621"/>
</workbook>
</file>

<file path=xl/calcChain.xml><?xml version="1.0" encoding="utf-8"?>
<calcChain xmlns="http://schemas.openxmlformats.org/spreadsheetml/2006/main">
  <c r="B10" i="2" l="1"/>
  <c r="C10" i="2"/>
  <c r="D10" i="2"/>
  <c r="E10" i="2"/>
  <c r="F10" i="2"/>
  <c r="B13" i="2"/>
  <c r="M4" i="2"/>
  <c r="N4" i="2"/>
  <c r="O4" i="2"/>
  <c r="P4" i="2"/>
  <c r="M5" i="2"/>
  <c r="N5" i="2"/>
  <c r="O5" i="2"/>
  <c r="P5" i="2"/>
  <c r="M6" i="2"/>
  <c r="N6" i="2"/>
  <c r="O6" i="2"/>
  <c r="P6" i="2"/>
  <c r="M7" i="2"/>
  <c r="N7" i="2"/>
  <c r="O7" i="2"/>
  <c r="P7" i="2"/>
  <c r="L5" i="2"/>
  <c r="L6" i="2"/>
  <c r="L7" i="2"/>
  <c r="L4" i="2"/>
  <c r="K2" i="1"/>
  <c r="H6" i="1"/>
  <c r="H8" i="1"/>
  <c r="L6" i="1"/>
  <c r="L8" i="1"/>
  <c r="J4" i="1"/>
  <c r="O2" i="1"/>
  <c r="M2" i="1"/>
  <c r="I2" i="1"/>
  <c r="K8" i="1"/>
  <c r="K6" i="1"/>
  <c r="I4" i="1"/>
  <c r="M4" i="1"/>
  <c r="L10" i="1" s="1"/>
  <c r="O4" i="1"/>
  <c r="O6" i="1"/>
  <c r="Q6" i="1"/>
  <c r="E9" i="2" l="1"/>
  <c r="B9" i="2"/>
  <c r="F9" i="2"/>
  <c r="G6" i="2"/>
  <c r="G4" i="2"/>
  <c r="G5" i="2"/>
  <c r="D9" i="2"/>
  <c r="C9" i="2"/>
  <c r="G3" i="2"/>
  <c r="N10" i="1"/>
  <c r="Q4" i="1"/>
  <c r="H10" i="1"/>
  <c r="Q8" i="1"/>
  <c r="Q10" i="1"/>
  <c r="J10" i="1"/>
</calcChain>
</file>

<file path=xl/sharedStrings.xml><?xml version="1.0" encoding="utf-8"?>
<sst xmlns="http://schemas.openxmlformats.org/spreadsheetml/2006/main" count="23" uniqueCount="19">
  <si>
    <t>Заводы</t>
  </si>
  <si>
    <t>B1</t>
  </si>
  <si>
    <t>B2</t>
  </si>
  <si>
    <t>B3</t>
  </si>
  <si>
    <t>B4</t>
  </si>
  <si>
    <t>A1</t>
  </si>
  <si>
    <t>A2</t>
  </si>
  <si>
    <t>A3</t>
  </si>
  <si>
    <t>ГОРОДА</t>
  </si>
  <si>
    <t>ВРЕМЯ</t>
  </si>
  <si>
    <t>Мастерская</t>
  </si>
  <si>
    <t>стоимость ремонта</t>
  </si>
  <si>
    <t>база</t>
  </si>
  <si>
    <t>ремонт на стороне</t>
  </si>
  <si>
    <t>своими силами</t>
  </si>
  <si>
    <t>факт</t>
  </si>
  <si>
    <t>запас</t>
  </si>
  <si>
    <t>стоимость работ:</t>
  </si>
  <si>
    <t>Изначальные 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</si>
</sst>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" xfId="0" applyBorder="1"/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2" borderId="8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6" xfId="0" applyFont="1" applyBorder="1"/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B47" sqref="B47"/>
    </sheetView>
  </sheetViews>
  <sheetFormatPr defaultRowHeight="15" x14ac:dyDescent="0.25"/>
  <cols>
    <col min="8" max="8" width="6" customWidth="1"/>
    <col min="9" max="9" width="5.28515625" customWidth="1"/>
    <col min="10" max="10" width="5.85546875" customWidth="1"/>
    <col min="11" max="11" width="6.42578125" customWidth="1"/>
    <col min="12" max="12" width="5.42578125" customWidth="1"/>
    <col min="13" max="13" width="4.7109375" customWidth="1"/>
    <col min="14" max="14" width="4.28515625" customWidth="1"/>
    <col min="15" max="15" width="5" customWidth="1"/>
    <col min="16" max="16" width="7.140625" bestFit="1" customWidth="1"/>
    <col min="17" max="17" width="5.28515625" customWidth="1"/>
  </cols>
  <sheetData>
    <row r="1" spans="1:17" x14ac:dyDescent="0.25">
      <c r="A1" s="2" t="s">
        <v>0</v>
      </c>
      <c r="B1" s="2" t="s">
        <v>8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/>
      <c r="B2" s="3" t="s">
        <v>1</v>
      </c>
      <c r="C2" s="3" t="s">
        <v>2</v>
      </c>
      <c r="D2" s="3" t="s">
        <v>3</v>
      </c>
      <c r="E2" s="3" t="s">
        <v>4</v>
      </c>
      <c r="F2" s="1"/>
      <c r="G2" s="8"/>
      <c r="H2" s="20">
        <v>350</v>
      </c>
      <c r="I2" s="21">
        <f>I$3-$G$4</f>
        <v>1</v>
      </c>
      <c r="J2" s="20">
        <v>350</v>
      </c>
      <c r="K2" s="21">
        <f>K$3-$G$4</f>
        <v>4</v>
      </c>
      <c r="L2" s="20">
        <v>230</v>
      </c>
      <c r="M2" s="21">
        <f>M$3-$G$4</f>
        <v>1</v>
      </c>
      <c r="N2" s="20">
        <v>300</v>
      </c>
      <c r="O2" s="21">
        <f>O$3-$G$4</f>
        <v>9</v>
      </c>
      <c r="P2" s="1"/>
      <c r="Q2" s="1"/>
    </row>
    <row r="3" spans="1:17" x14ac:dyDescent="0.25">
      <c r="A3" s="3" t="s">
        <v>5</v>
      </c>
      <c r="B3" s="3">
        <v>1</v>
      </c>
      <c r="C3" s="3">
        <v>4</v>
      </c>
      <c r="D3" s="3">
        <v>1</v>
      </c>
      <c r="E3" s="3">
        <v>9</v>
      </c>
      <c r="F3" s="1"/>
      <c r="G3" s="9">
        <v>600</v>
      </c>
      <c r="H3" s="4"/>
      <c r="I3" s="5">
        <v>1</v>
      </c>
      <c r="J3" s="4"/>
      <c r="K3" s="5">
        <v>4</v>
      </c>
      <c r="L3" s="4"/>
      <c r="M3" s="5">
        <v>1</v>
      </c>
      <c r="N3" s="4"/>
      <c r="O3" s="5">
        <v>9</v>
      </c>
      <c r="P3" s="1"/>
      <c r="Q3" s="1"/>
    </row>
    <row r="4" spans="1:17" ht="15.75" x14ac:dyDescent="0.25">
      <c r="A4" s="3" t="s">
        <v>6</v>
      </c>
      <c r="B4" s="3">
        <v>9</v>
      </c>
      <c r="C4" s="3">
        <v>2</v>
      </c>
      <c r="D4" s="3">
        <v>2</v>
      </c>
      <c r="E4" s="3">
        <v>8</v>
      </c>
      <c r="F4" s="1"/>
      <c r="G4" s="14">
        <v>0</v>
      </c>
      <c r="H4" s="12"/>
      <c r="I4" s="19">
        <f>MIN($G3,H$2)</f>
        <v>350</v>
      </c>
      <c r="J4" s="6">
        <f>SUM(G4,K2)-SUM(G4,K2)</f>
        <v>0</v>
      </c>
      <c r="K4" s="7"/>
      <c r="L4" s="6"/>
      <c r="M4" s="19">
        <f>MIN($G3,L$2)</f>
        <v>230</v>
      </c>
      <c r="N4" s="6"/>
      <c r="O4" s="19">
        <f>MIN($G3,N$2)</f>
        <v>300</v>
      </c>
      <c r="P4" s="1"/>
      <c r="Q4" s="15">
        <f>IF(G3-I4-K4-M4-O4&lt;0,0,G3-I4-K4-M4-O4)</f>
        <v>0</v>
      </c>
    </row>
    <row r="5" spans="1:17" x14ac:dyDescent="0.25">
      <c r="A5" s="3" t="s">
        <v>7</v>
      </c>
      <c r="B5" s="3">
        <v>6</v>
      </c>
      <c r="C5" s="3">
        <v>1</v>
      </c>
      <c r="D5" s="3">
        <v>7</v>
      </c>
      <c r="E5" s="3">
        <v>3</v>
      </c>
      <c r="F5" s="1"/>
      <c r="G5" s="11">
        <v>300</v>
      </c>
      <c r="H5" s="4"/>
      <c r="I5" s="5">
        <v>9</v>
      </c>
      <c r="J5" s="4"/>
      <c r="K5" s="5">
        <v>2</v>
      </c>
      <c r="L5" s="4"/>
      <c r="M5" s="5">
        <v>2</v>
      </c>
      <c r="N5" s="4"/>
      <c r="O5" s="5">
        <v>8</v>
      </c>
      <c r="P5" s="1"/>
      <c r="Q5" s="1"/>
    </row>
    <row r="6" spans="1:17" ht="15.75" x14ac:dyDescent="0.25">
      <c r="F6" s="1"/>
      <c r="G6" s="16">
        <v>-1</v>
      </c>
      <c r="H6" s="6">
        <f>$G$6+I2-$G$6+I2</f>
        <v>2</v>
      </c>
      <c r="I6" s="7"/>
      <c r="J6" s="6"/>
      <c r="K6" s="19">
        <f>MIN($G5,J$2)</f>
        <v>300</v>
      </c>
      <c r="L6" s="6">
        <f>M5*$G$6</f>
        <v>-2</v>
      </c>
      <c r="M6" s="7"/>
      <c r="N6" s="6"/>
      <c r="O6" s="19">
        <f>MIN($G5,N$2)</f>
        <v>300</v>
      </c>
      <c r="P6" s="1"/>
      <c r="Q6" s="15">
        <f>IF(G5-I6-K6-M6-O6&lt;0,0,G5-I6-K6-M6-O6)</f>
        <v>0</v>
      </c>
    </row>
    <row r="7" spans="1:17" x14ac:dyDescent="0.25">
      <c r="F7" s="1"/>
      <c r="G7" s="9">
        <v>330</v>
      </c>
      <c r="H7" s="4"/>
      <c r="I7" s="5">
        <v>6</v>
      </c>
      <c r="J7" s="4"/>
      <c r="K7" s="5">
        <v>1</v>
      </c>
      <c r="L7" s="4"/>
      <c r="M7" s="5">
        <v>7</v>
      </c>
      <c r="N7" s="17"/>
      <c r="O7" s="5">
        <v>3</v>
      </c>
      <c r="P7" s="1"/>
      <c r="Q7" s="1"/>
    </row>
    <row r="8" spans="1:17" ht="15.75" x14ac:dyDescent="0.25">
      <c r="F8" s="1"/>
      <c r="G8" s="14">
        <v>-2</v>
      </c>
      <c r="H8" s="6">
        <f>I7*$G$6</f>
        <v>-6</v>
      </c>
      <c r="I8" s="7"/>
      <c r="J8" s="6"/>
      <c r="K8" s="19">
        <f>MIN($G7,$J$2)</f>
        <v>330</v>
      </c>
      <c r="L8" s="6">
        <f>M7*$G$6</f>
        <v>-7</v>
      </c>
      <c r="M8" s="7"/>
      <c r="N8" s="18"/>
      <c r="O8" s="7"/>
      <c r="P8" s="1"/>
      <c r="Q8" s="15">
        <f>IF(G7-I8-K8-M8-O8&lt;0,0,G7-I8-K8-M8-O8)</f>
        <v>0</v>
      </c>
    </row>
    <row r="9" spans="1:17" x14ac:dyDescent="0.25"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F10" s="1"/>
      <c r="G10" s="1"/>
      <c r="H10" s="15">
        <f>IF(H2-I8-I6-I4&lt;0,0,H2-I8-I6-I4)</f>
        <v>0</v>
      </c>
      <c r="I10" s="1"/>
      <c r="J10" s="15">
        <f>IF(J2-K8-K6-K4&lt;0,0,J2-K8-K6-K4)</f>
        <v>0</v>
      </c>
      <c r="K10" s="1"/>
      <c r="L10" s="15">
        <f>IF(L2-M8-M6-M4&lt;0,0,L2-M8-M6-M4)</f>
        <v>0</v>
      </c>
      <c r="M10" s="1"/>
      <c r="N10" s="15">
        <f>IF(N2-O8-O6-O4&lt;0,0,N2-O8-O6-O4)</f>
        <v>0</v>
      </c>
      <c r="O10" s="1"/>
      <c r="P10" s="3" t="s">
        <v>9</v>
      </c>
      <c r="Q10" s="3">
        <f>SUM(I4,I6,K4,K6,M4,M6,O4,O6,O8,M8,K8,I8)</f>
        <v>1810</v>
      </c>
    </row>
    <row r="11" spans="1:17" x14ac:dyDescent="0.25"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</sheetData>
  <mergeCells count="2">
    <mergeCell ref="A1:A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tabSelected="1" zoomScaleNormal="100" workbookViewId="0">
      <selection activeCell="G7" sqref="G7:H8"/>
    </sheetView>
  </sheetViews>
  <sheetFormatPr defaultRowHeight="15" x14ac:dyDescent="0.25"/>
  <cols>
    <col min="1" max="1" width="18.5703125" bestFit="1" customWidth="1"/>
    <col min="7" max="7" width="10.5703125" customWidth="1"/>
  </cols>
  <sheetData>
    <row r="1" spans="1:24" x14ac:dyDescent="0.25">
      <c r="A1" s="10"/>
      <c r="B1" s="23" t="s">
        <v>12</v>
      </c>
      <c r="C1" s="23"/>
      <c r="D1" s="23"/>
      <c r="E1" s="23"/>
      <c r="F1" s="10"/>
      <c r="H1" s="13"/>
      <c r="I1" s="13"/>
      <c r="S1" s="31" t="s">
        <v>11</v>
      </c>
      <c r="T1" s="27" t="s">
        <v>18</v>
      </c>
      <c r="U1" s="28"/>
      <c r="V1" s="28"/>
      <c r="W1" s="28"/>
      <c r="X1" s="29"/>
    </row>
    <row r="2" spans="1:24" x14ac:dyDescent="0.25">
      <c r="A2" s="22" t="s">
        <v>10</v>
      </c>
      <c r="B2" s="10">
        <v>1</v>
      </c>
      <c r="C2" s="10">
        <v>2</v>
      </c>
      <c r="D2" s="10">
        <v>3</v>
      </c>
      <c r="E2" s="10">
        <v>4</v>
      </c>
      <c r="F2" s="10">
        <v>5</v>
      </c>
      <c r="G2" s="10" t="s">
        <v>15</v>
      </c>
      <c r="H2" s="10" t="s">
        <v>16</v>
      </c>
      <c r="K2" s="10"/>
      <c r="L2" s="23" t="s">
        <v>12</v>
      </c>
      <c r="M2" s="23"/>
      <c r="N2" s="23"/>
      <c r="O2" s="23"/>
      <c r="P2" s="10"/>
      <c r="S2" s="32"/>
      <c r="T2" s="25"/>
      <c r="U2" s="26"/>
      <c r="V2" s="26"/>
      <c r="W2" s="26"/>
      <c r="X2" s="30"/>
    </row>
    <row r="3" spans="1:24" ht="30" customHeight="1" x14ac:dyDescent="0.25">
      <c r="A3" s="10">
        <v>1</v>
      </c>
      <c r="B3" s="10"/>
      <c r="C3" s="10"/>
      <c r="D3" s="10"/>
      <c r="E3" s="10"/>
      <c r="F3" s="10"/>
      <c r="G3" s="10">
        <f>SUM(B3,C3,D3,E3,F3)</f>
        <v>0</v>
      </c>
      <c r="H3" s="10"/>
      <c r="K3" s="22" t="s">
        <v>10</v>
      </c>
      <c r="L3" s="10">
        <v>1</v>
      </c>
      <c r="M3" s="10">
        <v>2</v>
      </c>
      <c r="N3" s="10">
        <v>3</v>
      </c>
      <c r="O3" s="10">
        <v>4</v>
      </c>
      <c r="P3" s="10">
        <v>5</v>
      </c>
      <c r="S3" s="10">
        <v>500</v>
      </c>
      <c r="T3" s="10">
        <v>40</v>
      </c>
      <c r="U3" s="10">
        <v>20</v>
      </c>
      <c r="V3" s="10">
        <v>60</v>
      </c>
      <c r="W3" s="10">
        <v>10</v>
      </c>
      <c r="X3" s="10">
        <v>20</v>
      </c>
    </row>
    <row r="4" spans="1:24" x14ac:dyDescent="0.25">
      <c r="A4" s="10">
        <v>2</v>
      </c>
      <c r="B4" s="10"/>
      <c r="C4" s="10"/>
      <c r="D4" s="10"/>
      <c r="E4" s="10"/>
      <c r="F4" s="10"/>
      <c r="G4" s="10">
        <f>SUM(B4,C4,D4,E4,F4)</f>
        <v>0</v>
      </c>
      <c r="H4" s="10"/>
      <c r="K4" s="10">
        <v>1</v>
      </c>
      <c r="L4" s="10">
        <f>SUM($S3,T3)</f>
        <v>540</v>
      </c>
      <c r="M4" s="10">
        <f t="shared" ref="M4:P7" si="0">SUM($S3,U3)</f>
        <v>520</v>
      </c>
      <c r="N4" s="10">
        <f t="shared" si="0"/>
        <v>560</v>
      </c>
      <c r="O4" s="10">
        <f t="shared" si="0"/>
        <v>510</v>
      </c>
      <c r="P4" s="10">
        <f t="shared" si="0"/>
        <v>520</v>
      </c>
      <c r="S4" s="10">
        <v>700</v>
      </c>
      <c r="T4" s="10">
        <v>10</v>
      </c>
      <c r="U4" s="10">
        <v>80</v>
      </c>
      <c r="V4" s="10">
        <v>30</v>
      </c>
      <c r="W4" s="10">
        <v>40</v>
      </c>
      <c r="X4" s="10">
        <v>30</v>
      </c>
    </row>
    <row r="5" spans="1:24" x14ac:dyDescent="0.25">
      <c r="A5" s="10">
        <v>3</v>
      </c>
      <c r="B5" s="10"/>
      <c r="C5" s="10"/>
      <c r="D5" s="10"/>
      <c r="E5" s="10"/>
      <c r="F5" s="10"/>
      <c r="G5" s="10">
        <f>SUM(B5,C5,D5,E5,F5)</f>
        <v>0</v>
      </c>
      <c r="H5" s="10"/>
      <c r="K5" s="10">
        <v>2</v>
      </c>
      <c r="L5" s="10">
        <f t="shared" ref="L5:L7" si="1">SUM($S4,T4)</f>
        <v>710</v>
      </c>
      <c r="M5" s="10">
        <f t="shared" si="0"/>
        <v>780</v>
      </c>
      <c r="N5" s="10">
        <f t="shared" si="0"/>
        <v>730</v>
      </c>
      <c r="O5" s="10">
        <f t="shared" si="0"/>
        <v>740</v>
      </c>
      <c r="P5" s="10">
        <f t="shared" si="0"/>
        <v>730</v>
      </c>
      <c r="S5" s="10">
        <v>650</v>
      </c>
      <c r="T5" s="10">
        <v>70</v>
      </c>
      <c r="U5" s="10">
        <v>30</v>
      </c>
      <c r="V5" s="10">
        <v>30</v>
      </c>
      <c r="W5" s="10">
        <v>50</v>
      </c>
      <c r="X5" s="10">
        <v>10</v>
      </c>
    </row>
    <row r="6" spans="1:24" x14ac:dyDescent="0.25">
      <c r="A6" s="10">
        <v>4</v>
      </c>
      <c r="B6" s="10"/>
      <c r="C6" s="10"/>
      <c r="D6" s="10"/>
      <c r="E6" s="10"/>
      <c r="F6" s="10"/>
      <c r="G6" s="10">
        <f>SUM(B6,C6,D6,E6,F6)</f>
        <v>0</v>
      </c>
      <c r="H6" s="10"/>
      <c r="K6" s="10">
        <v>3</v>
      </c>
      <c r="L6" s="10">
        <f t="shared" si="1"/>
        <v>720</v>
      </c>
      <c r="M6" s="10">
        <f t="shared" si="0"/>
        <v>680</v>
      </c>
      <c r="N6" s="10">
        <f t="shared" si="0"/>
        <v>680</v>
      </c>
      <c r="O6" s="10">
        <f t="shared" si="0"/>
        <v>700</v>
      </c>
      <c r="P6" s="10">
        <f t="shared" si="0"/>
        <v>660</v>
      </c>
      <c r="S6" s="10">
        <v>600</v>
      </c>
      <c r="T6" s="10">
        <v>50</v>
      </c>
      <c r="U6" s="10">
        <v>10</v>
      </c>
      <c r="V6" s="10">
        <v>40</v>
      </c>
      <c r="W6" s="10">
        <v>50</v>
      </c>
      <c r="X6" s="10">
        <v>40</v>
      </c>
    </row>
    <row r="7" spans="1:24" ht="16.5" customHeight="1" x14ac:dyDescent="0.25">
      <c r="A7" s="22" t="s">
        <v>13</v>
      </c>
      <c r="B7" s="10"/>
      <c r="C7" s="10"/>
      <c r="D7" s="10"/>
      <c r="E7" s="10"/>
      <c r="F7" s="10"/>
      <c r="G7" s="10"/>
      <c r="H7" s="10"/>
      <c r="K7" s="10">
        <v>4</v>
      </c>
      <c r="L7" s="10">
        <f t="shared" si="1"/>
        <v>650</v>
      </c>
      <c r="M7" s="10">
        <f t="shared" si="0"/>
        <v>610</v>
      </c>
      <c r="N7" s="10">
        <f t="shared" si="0"/>
        <v>640</v>
      </c>
      <c r="O7" s="10">
        <f t="shared" si="0"/>
        <v>650</v>
      </c>
      <c r="P7" s="10">
        <f t="shared" si="0"/>
        <v>640</v>
      </c>
    </row>
    <row r="8" spans="1:24" ht="15" customHeight="1" x14ac:dyDescent="0.25">
      <c r="A8" s="22" t="s">
        <v>14</v>
      </c>
      <c r="B8" s="10"/>
      <c r="C8" s="10"/>
      <c r="D8" s="10"/>
      <c r="E8" s="10"/>
      <c r="F8" s="10"/>
      <c r="G8" s="10"/>
      <c r="H8" s="10"/>
    </row>
    <row r="9" spans="1:24" x14ac:dyDescent="0.25">
      <c r="A9" s="22" t="s">
        <v>15</v>
      </c>
      <c r="B9" s="10">
        <f>SUM(B3,B4,B5,B6)</f>
        <v>0</v>
      </c>
      <c r="C9" s="10">
        <f t="shared" ref="C9:E10" si="2">SUM(C3,C4,C5,C6)</f>
        <v>0</v>
      </c>
      <c r="D9" s="10">
        <f t="shared" si="2"/>
        <v>0</v>
      </c>
      <c r="E9" s="10">
        <f t="shared" si="2"/>
        <v>0</v>
      </c>
      <c r="F9" s="10">
        <f>SUM(F3,F4,F5,F6)</f>
        <v>0</v>
      </c>
      <c r="I9">
        <v>1975</v>
      </c>
    </row>
    <row r="10" spans="1:24" x14ac:dyDescent="0.25">
      <c r="A10" s="22" t="s">
        <v>16</v>
      </c>
      <c r="B10" s="10">
        <f>SUM(550+350+300+375+400)</f>
        <v>1975</v>
      </c>
      <c r="C10" s="10">
        <f t="shared" ref="C10:F10" si="3">SUM(550+350+300+375+400)</f>
        <v>1975</v>
      </c>
      <c r="D10" s="10">
        <f t="shared" si="3"/>
        <v>1975</v>
      </c>
      <c r="E10" s="10">
        <f t="shared" si="3"/>
        <v>1975</v>
      </c>
      <c r="F10" s="10">
        <f t="shared" si="3"/>
        <v>1975</v>
      </c>
    </row>
    <row r="11" spans="1:24" x14ac:dyDescent="0.25">
      <c r="G11">
        <v>1975</v>
      </c>
    </row>
    <row r="13" spans="1:24" ht="18.75" customHeight="1" x14ac:dyDescent="0.25">
      <c r="A13" s="22" t="s">
        <v>17</v>
      </c>
      <c r="B13" s="24">
        <f>SUMPRODUCT(T3:X8,L4:P9)</f>
        <v>479100</v>
      </c>
    </row>
  </sheetData>
  <mergeCells count="4">
    <mergeCell ref="S1:S2"/>
    <mergeCell ref="B1:E1"/>
    <mergeCell ref="T1:X2"/>
    <mergeCell ref="L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Академия ТОП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2026-04-10T07:16:00Z</dcterms:created>
  <dcterms:modified xsi:type="dcterms:W3CDTF">2026-04-10T09:44:22Z</dcterms:modified>
</cp:coreProperties>
</file>